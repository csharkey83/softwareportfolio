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amp64\www\Final Project-Software Portfolio\"/>
    </mc:Choice>
  </mc:AlternateContent>
  <xr:revisionPtr revIDLastSave="0" documentId="13_ncr:1_{F955FB00-29A7-4E04-AA27-EDA7BF8729E1}" xr6:coauthVersionLast="43" xr6:coauthVersionMax="43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DashBoard" sheetId="6" state="veryHidden" r:id="rId1"/>
    <sheet name="HH Alert Form 2018" sheetId="1" r:id="rId2"/>
    <sheet name="Surgeon and Procedures" sheetId="2" state="veryHidden" r:id="rId3"/>
    <sheet name="Surgeon List" sheetId="3" state="veryHidden" r:id="rId4"/>
    <sheet name="Other Lists" sheetId="4" state="veryHidden" r:id="rId5"/>
  </sheets>
  <externalReferences>
    <externalReference r:id="rId6"/>
  </externalReferences>
  <definedNames>
    <definedName name="AM_Admit">Table31[AM_Admit]</definedName>
    <definedName name="Anesthesia_Type">Table26[Anesthesia Type:]</definedName>
    <definedName name="CPTCodes">Table4[CPT4 Code]</definedName>
    <definedName name="Encounter_Type">Table29[Encounter Type]</definedName>
    <definedName name="Equipment_Requiring_Rep">Table35[Other Equipment:]</definedName>
    <definedName name="Languages">Table28[Languages]</definedName>
    <definedName name="Location">OFFSET('Other Lists'!$I$1,1,,COUNTA('Other Lists'!$I$2:$I$4))</definedName>
    <definedName name="Other_Equipment">Table35[Other Equipment:]</definedName>
    <definedName name="Patient_Position">Table32[Patient Position:]</definedName>
    <definedName name="Positioning_Beds">Table34[Positioning/Beds]</definedName>
    <definedName name="Priority">'Other Lists'!$K$2:$K$3</definedName>
    <definedName name="Procedure_CPTCODE_TABLE">Table4[#All]</definedName>
    <definedName name="Procedure_List">OFFSET('Surgeon and Procedures'!$A$1,1,,COUNTA('Surgeon and Procedures'!$A$2:$A$1783))</definedName>
    <definedName name="Radiology">Table33[Radiology:]</definedName>
    <definedName name="Searchable_Surgeons">'Surgeon List'!$F$2:INDEX('Surgeon List'!$F$2:$F$19,COUNTIF('Surgeon List'!$F$2:$F$19,"?*"))</definedName>
    <definedName name="Selected_Procedure">Table4[PROCEDURE]</definedName>
    <definedName name="Supplies">Table39[Supplies:]</definedName>
    <definedName name="Surgical_Site_Modifier">Table37[Surgical Site Modifier:]</definedName>
    <definedName name="Table30">'Surgeon List'!$H$1:$AC$250</definedName>
    <definedName name="Time">Table27[Time]</definedName>
    <definedName name="Vendors">Table36[Vendors:]</definedName>
    <definedName name="Yes_No">OFFSET('Other Lists'!$C$1,1,,COUNTA('Other Lists'!$C$2:$C$4))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3" l="1"/>
  <c r="D3" i="3" l="1"/>
  <c r="D18" i="3" l="1"/>
  <c r="D14" i="3"/>
  <c r="D10" i="3"/>
  <c r="D6" i="3"/>
  <c r="D17" i="3"/>
  <c r="D13" i="3"/>
  <c r="D9" i="3"/>
  <c r="D5" i="3"/>
  <c r="D2" i="3"/>
  <c r="E2" i="3" s="1"/>
  <c r="D16" i="3"/>
  <c r="D12" i="3"/>
  <c r="D8" i="3"/>
  <c r="D4" i="3"/>
  <c r="E4" i="3" s="1"/>
  <c r="D19" i="3"/>
  <c r="D15" i="3"/>
  <c r="D11" i="3"/>
  <c r="D7" i="3"/>
  <c r="D3" i="2"/>
  <c r="E7" i="3" l="1"/>
  <c r="E13" i="3"/>
  <c r="E11" i="3"/>
  <c r="E9" i="3"/>
  <c r="E14" i="3"/>
  <c r="E17" i="3"/>
  <c r="E18" i="3"/>
  <c r="E8" i="3"/>
  <c r="E5" i="3"/>
  <c r="E6" i="3"/>
  <c r="E3" i="3"/>
  <c r="E15" i="3"/>
  <c r="E12" i="3"/>
  <c r="E10" i="3"/>
  <c r="E16" i="3"/>
  <c r="E19" i="3"/>
  <c r="AG2" i="4"/>
  <c r="AG3" i="4" s="1"/>
  <c r="AG4" i="4" s="1"/>
  <c r="AG5" i="4" s="1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AG103" i="4" s="1"/>
  <c r="AG104" i="4" s="1"/>
  <c r="AG105" i="4" s="1"/>
  <c r="AG106" i="4" s="1"/>
  <c r="AG107" i="4" s="1"/>
  <c r="AG108" i="4" s="1"/>
  <c r="AG109" i="4" s="1"/>
  <c r="AG110" i="4" s="1"/>
  <c r="AG111" i="4" s="1"/>
  <c r="AG112" i="4" s="1"/>
  <c r="AG113" i="4" s="1"/>
  <c r="AG114" i="4" s="1"/>
  <c r="AG115" i="4" s="1"/>
  <c r="AG116" i="4" s="1"/>
  <c r="AG117" i="4" s="1"/>
  <c r="AG118" i="4" s="1"/>
  <c r="AG119" i="4" s="1"/>
  <c r="AG120" i="4" s="1"/>
  <c r="AG121" i="4" s="1"/>
  <c r="AG122" i="4" s="1"/>
  <c r="AG123" i="4" s="1"/>
  <c r="AG124" i="4" s="1"/>
  <c r="F5" i="3" l="1"/>
  <c r="F4" i="3"/>
  <c r="F2" i="3"/>
  <c r="F14" i="3"/>
  <c r="F13" i="3"/>
  <c r="F3" i="3"/>
  <c r="F11" i="3"/>
  <c r="F8" i="3"/>
  <c r="F10" i="3"/>
  <c r="F19" i="3"/>
  <c r="F12" i="3"/>
  <c r="F18" i="3"/>
  <c r="F6" i="3"/>
  <c r="F17" i="3"/>
  <c r="F7" i="3"/>
  <c r="F9" i="3"/>
  <c r="F16" i="3"/>
  <c r="F15" i="3"/>
  <c r="F42" i="1"/>
  <c r="D8" i="1" l="1"/>
  <c r="E3" i="2" l="1"/>
  <c r="D2" i="2"/>
  <c r="E2" i="2" s="1"/>
  <c r="E5" i="2" l="1"/>
  <c r="F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Sharkey, Christopher D</author>
  </authors>
  <commentList>
    <comment ref="C1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Select Desired Preference Card From Dropdown List For Procedure.
</t>
        </r>
        <r>
          <rPr>
            <sz val="9"/>
            <color indexed="81"/>
            <rFont val="Tahoma"/>
            <family val="2"/>
          </rPr>
          <t>If Preference Card Does Not Match Procedure Please Use Green Box Below For Correct CPT Code</t>
        </r>
      </text>
    </comment>
  </commentList>
</comments>
</file>

<file path=xl/sharedStrings.xml><?xml version="1.0" encoding="utf-8"?>
<sst xmlns="http://schemas.openxmlformats.org/spreadsheetml/2006/main" count="4316" uniqueCount="675">
  <si>
    <t>Pre Anesthesia Testing</t>
  </si>
  <si>
    <t>Post-OP Appointment</t>
  </si>
  <si>
    <t>Date: _______________</t>
  </si>
  <si>
    <t>Time: _______________</t>
  </si>
  <si>
    <t xml:space="preserve">*Patient Name: </t>
  </si>
  <si>
    <r>
      <rPr>
        <b/>
        <sz val="12"/>
        <color theme="1"/>
        <rFont val="Calibri"/>
        <family val="2"/>
        <scheme val="minor"/>
      </rPr>
      <t>*Patient Phone #:</t>
    </r>
    <r>
      <rPr>
        <sz val="12"/>
        <color theme="1"/>
        <rFont val="Calibri"/>
        <family val="2"/>
        <scheme val="minor"/>
      </rPr>
      <t xml:space="preserve">             </t>
    </r>
  </si>
  <si>
    <t>Weight:</t>
  </si>
  <si>
    <t>Preferred Language:</t>
  </si>
  <si>
    <t xml:space="preserve">Surgical Location: </t>
  </si>
  <si>
    <t>*Date of Procedure</t>
  </si>
  <si>
    <t>*Primary Surgeon:</t>
  </si>
  <si>
    <t xml:space="preserve">Resident: </t>
  </si>
  <si>
    <t>*Diagnosis:</t>
  </si>
  <si>
    <t xml:space="preserve">*ICD 10 </t>
  </si>
  <si>
    <t>ADRENALECTOMY LAPAROSCOPIC</t>
  </si>
  <si>
    <t xml:space="preserve">*Estimated Procedure Length: </t>
  </si>
  <si>
    <t>*Priority:</t>
  </si>
  <si>
    <t xml:space="preserve">*Encounter Type : </t>
  </si>
  <si>
    <t xml:space="preserve">*Anesthesia Type: </t>
  </si>
  <si>
    <t>*Patient Position:</t>
  </si>
  <si>
    <t>Radiology:</t>
  </si>
  <si>
    <t>Positioning/Beds:</t>
  </si>
  <si>
    <t>Other:</t>
  </si>
  <si>
    <t>Equipment Requiring Reps:</t>
  </si>
  <si>
    <t>Vendor(s):</t>
  </si>
  <si>
    <t>Additional/Special Equipment &amp; Supplies:</t>
  </si>
  <si>
    <t>Special Instructions:</t>
  </si>
  <si>
    <t>SURGEON</t>
  </si>
  <si>
    <t>PROCEDURE</t>
  </si>
  <si>
    <t>AHMADIYEH, NASIM</t>
  </si>
  <si>
    <t>BREAST BIOPSY</t>
  </si>
  <si>
    <t>BREAST BIOPSY NEEDLE LOCALIZATION</t>
  </si>
  <si>
    <t>BREAST LUMPECTOMY</t>
  </si>
  <si>
    <t>BREAST LUMPECTOMY WITH LYMPHATIC MAPPING</t>
  </si>
  <si>
    <t>BREAST SCAR REVISION</t>
  </si>
  <si>
    <t>MASTECTOMY RADICAL</t>
  </si>
  <si>
    <t>MASTECTOMY SIMPLE</t>
  </si>
  <si>
    <t>MASTECTOMY WITH LYMPHATIC MAPPING</t>
  </si>
  <si>
    <t>AUGUSTIN, STANLEY</t>
  </si>
  <si>
    <t>ABDOMINAL PERINEAL RESECTION</t>
  </si>
  <si>
    <t>ADRENALECTOMY</t>
  </si>
  <si>
    <t>ANAL FISSURECTOMY FISTULECTOMY</t>
  </si>
  <si>
    <t>ANAL PERINEAL CONDYLOMA FULGERATION</t>
  </si>
  <si>
    <t>APPENDECTOMY</t>
  </si>
  <si>
    <t>APPENDECTOMY LAPAROSCOPIC</t>
  </si>
  <si>
    <t>AXILLARY NODE DISSECTION</t>
  </si>
  <si>
    <t>CHOLECYSTECTOMY WITH COMMON BILE DUCT EXPLORATION</t>
  </si>
  <si>
    <t>CHOLECYSTECTOMY</t>
  </si>
  <si>
    <t>CHOLECYSTECTOMY LAPAROSCOPIC WITH CHOLEANGIOGRAMS</t>
  </si>
  <si>
    <t>CHOLECYSTECTOMY LAPAROSCOPY</t>
  </si>
  <si>
    <t>CHOLECYSTECTOMY WITH CHOLEANGIOGRAMS</t>
  </si>
  <si>
    <t>CHOLECYSTECTOMY WITH CHOLEDOCHOSCHOPY</t>
  </si>
  <si>
    <t>COLON RESECTION</t>
  </si>
  <si>
    <t>COLON RESECTION LAPAROSCOPY</t>
  </si>
  <si>
    <t>COLON RESECTION LOW ANTERIOR</t>
  </si>
  <si>
    <t>COLON RESECTION LOW ANTERIOR LAPAROSCOPY</t>
  </si>
  <si>
    <t>COLON RESECTION TRANSANAL</t>
  </si>
  <si>
    <t>COLOSTOMY</t>
  </si>
  <si>
    <t>COLOSTOMY LAPAROSCOPY</t>
  </si>
  <si>
    <t>COLOSTOMY REVISION</t>
  </si>
  <si>
    <t>COLOSTOMY TAKEDOWN</t>
  </si>
  <si>
    <t>EXPLORATORY LAPAROTOMY WITH REMOVAL OF PACKING</t>
  </si>
  <si>
    <t>FOREIGN BODY REMOVAL UPPER EXTREMITY</t>
  </si>
  <si>
    <t>GASTRECTOMY TOTAL</t>
  </si>
  <si>
    <t>GASTRIC BANDING LAPAROSCOPIC</t>
  </si>
  <si>
    <t>GASTRIC BYPASS</t>
  </si>
  <si>
    <t>GASTRIC BYPASS LAPAROSCOPIC</t>
  </si>
  <si>
    <t>GASTRIC PACEMAKER PLACEMENT LAPAROSCOPIC</t>
  </si>
  <si>
    <t>GASTROJEJUNOSTOMY</t>
  </si>
  <si>
    <t>GASTROSTOMY</t>
  </si>
  <si>
    <t>GASTROSTOMY LAPAROSCOPIC</t>
  </si>
  <si>
    <t>GROIN EXPLORATION/I&amp;D</t>
  </si>
  <si>
    <t>HELLER MYOTOMY</t>
  </si>
  <si>
    <t>HEMORRHOIDECTOMY</t>
  </si>
  <si>
    <t>HIATAL HERNIA REPAIR LAPAROSCOPIC</t>
  </si>
  <si>
    <t>HICKMAN INSERTION OF LONGTERM CATHETER</t>
  </si>
  <si>
    <t>HIDRADENITIS EXCISION AXILLA</t>
  </si>
  <si>
    <t>HIDRADENITIS EXCISION GROIN</t>
  </si>
  <si>
    <t>I &amp; D BREAST/AXILLA</t>
  </si>
  <si>
    <t>I &amp; D TRUNK</t>
  </si>
  <si>
    <t>I&amp;D ABDOMEN</t>
  </si>
  <si>
    <t>ILEOSTOMY</t>
  </si>
  <si>
    <t>ILEOSTOMY CLOSURE</t>
  </si>
  <si>
    <t>INSICIONAL HERNIA REPAIR</t>
  </si>
  <si>
    <t>INSICIONAL HERNIA REPAIR WITH MESH</t>
  </si>
  <si>
    <t>INGUINAL HERNIA REPAIR</t>
  </si>
  <si>
    <t>INGUINAL HERNIA REPAIR LAPAROSCOPIC</t>
  </si>
  <si>
    <t>INGUINAL HERNIA REPAIR WITH MESH</t>
  </si>
  <si>
    <t>IRRIGATION AND DEBRIDEMENT LOWER EXTREMITY</t>
  </si>
  <si>
    <t>IRRIGATION AND DEBRIDEMENT UPPER EXTREMITY</t>
  </si>
  <si>
    <t>JEJUNOSTOMY</t>
  </si>
  <si>
    <t>LAPAROSCOPY DIAGNOSTIC</t>
  </si>
  <si>
    <t>LAPAROSCOPY OPERATIVE</t>
  </si>
  <si>
    <t>LAPAROTOMY</t>
  </si>
  <si>
    <t>LESION EXCISION FACE</t>
  </si>
  <si>
    <t>LESION EXCISION HEAD</t>
  </si>
  <si>
    <t>LESION EXCISION LOWER EXTREMITY</t>
  </si>
  <si>
    <t>LESION EXCISION LOWER EXTREMITY WITH STSG</t>
  </si>
  <si>
    <t>LESION EXCISION NECK</t>
  </si>
  <si>
    <t>LESION EXCISION TRUNK</t>
  </si>
  <si>
    <t>LESION EXCISION UPPER EXTREMITY</t>
  </si>
  <si>
    <t>LESION EXCISION UPPER EXTREMITY WITH STSG</t>
  </si>
  <si>
    <t>LIPOMA EXTREMITY EXCISION</t>
  </si>
  <si>
    <t>LIPOMA HEAD EXCISION</t>
  </si>
  <si>
    <t>LIPOMA TRUNK EXCISION</t>
  </si>
  <si>
    <t>LIVER RESECTION</t>
  </si>
  <si>
    <t>LYMPH NODE BIOPSY CERVICAL</t>
  </si>
  <si>
    <t>LYMPH NODE EXCISION BIOPSY AXILLARY</t>
  </si>
  <si>
    <t>LYMPH NODE EXCISION BIOPSY INGUINAL</t>
  </si>
  <si>
    <t>MUSCLE BIOPSY</t>
  </si>
  <si>
    <t>NECK EXPLORATION</t>
  </si>
  <si>
    <t>NERVE BIOPSY</t>
  </si>
  <si>
    <t>NISSEN'S FUNDOPLICATION</t>
  </si>
  <si>
    <t>NISSEN'S FUNDOPLICATION LAPAROSCOPIC</t>
  </si>
  <si>
    <t>PANCREATIC PSEUDOCYST GASTROSTOMY</t>
  </si>
  <si>
    <t>PERINEAL INCISION AND DRAINAGE</t>
  </si>
  <si>
    <t>PERINEAL WART FULGURATION</t>
  </si>
  <si>
    <t>PERITONEAL CATHETER INSERTION</t>
  </si>
  <si>
    <t>PILONIDAL CYSTECTOMY</t>
  </si>
  <si>
    <t>PORT-A-CATH INSERTION</t>
  </si>
  <si>
    <t>PORT-A-CATH REMOVAL</t>
  </si>
  <si>
    <t>RECTAL BIOPSY</t>
  </si>
  <si>
    <t>RECTAL EXAM UNDER ANESTHESIA</t>
  </si>
  <si>
    <t>RECTAL PERIRECTAL INCISION AND DRAINAGE</t>
  </si>
  <si>
    <t>RECTAL RESECTION</t>
  </si>
  <si>
    <t>SIGMOIDECTOMY</t>
  </si>
  <si>
    <t>SKIN GRAFT SPLIT THICKNESS</t>
  </si>
  <si>
    <t>SMALL BOWEL RESECTION</t>
  </si>
  <si>
    <t>SPLENECTOMY</t>
  </si>
  <si>
    <t>SPLENECTOMY LAPAROSCOPIC</t>
  </si>
  <si>
    <t>SUBCLAVICULAR LYMPH NODE BIOPSY</t>
  </si>
  <si>
    <t>TEMPORAL ARTERY BIOPSY</t>
  </si>
  <si>
    <t>THORACOSCOPY</t>
  </si>
  <si>
    <t>THYROIDECTOMY</t>
  </si>
  <si>
    <t>TRACHEOSTOMY</t>
  </si>
  <si>
    <t>UMBILICAL HERNIA REPAIR</t>
  </si>
  <si>
    <t>UMBILICAL HERNIA REPAIR LAPAROSCOPIC</t>
  </si>
  <si>
    <t>VENTRAL HERNIA REPAIR</t>
  </si>
  <si>
    <t>VENTRAL HERNIA REPAIR LAPAROSCOPIC</t>
  </si>
  <si>
    <t>VENTRAL HERNIA REPAIR WITH MESH</t>
  </si>
  <si>
    <t>WHIPPLE PROCEDURE</t>
  </si>
  <si>
    <t>WOUND CLOSURE UPPER EXTREMITY</t>
  </si>
  <si>
    <t>WOUND EXPLORATION</t>
  </si>
  <si>
    <t>CARTER, ROBERT</t>
  </si>
  <si>
    <t>A V FISTULA</t>
  </si>
  <si>
    <t>A V FISTULA REVISION</t>
  </si>
  <si>
    <t>A V FISTULA REVISION WITH POSSIBLE ANGIOPLASTY</t>
  </si>
  <si>
    <t>A V FISTULA TRANSPOSITION</t>
  </si>
  <si>
    <t>A V GRAFT EXCISION WITH REVASCULAIZATION</t>
  </si>
  <si>
    <t>A V GRAFT INSERTION</t>
  </si>
  <si>
    <t>A V GRAFT REVISION</t>
  </si>
  <si>
    <t>A V GRAFT/UPPER EXTREMITY THROMBECTOMY</t>
  </si>
  <si>
    <t>ABDOMINAL AORTIC ANEURYSM ENDOVASCULAR STENT</t>
  </si>
  <si>
    <t>ABDOMINAL AORTIC ANEURYSM REPAIR</t>
  </si>
  <si>
    <t>AORTIC FEMORAL BYPASS</t>
  </si>
  <si>
    <t>ARTERY REPAIR</t>
  </si>
  <si>
    <t>A V GRAFT LOWER EXTREMITY</t>
  </si>
  <si>
    <t>AXILLOFEMORAL BYPASS</t>
  </si>
  <si>
    <t>BRACHIAL ARTERY BYPASS WITH SAPHENOUS VEIN HARVEST</t>
  </si>
  <si>
    <t>CAROTID ENDARTERECTOMY</t>
  </si>
  <si>
    <t>CAROTID SUBCLAVIAN BYPASS</t>
  </si>
  <si>
    <t>CELIAC ARTERY REPAIR</t>
  </si>
  <si>
    <t>FASCIOTOMY LOWER EXTREMITY</t>
  </si>
  <si>
    <t>FEMORAL ARTERY REPAIR</t>
  </si>
  <si>
    <t>FEMORAL ENDARTERECTOMY</t>
  </si>
  <si>
    <t>FEMORAL FEMORAL BYPASS GRAFT</t>
  </si>
  <si>
    <t>FEMORAL POPLITEAL BYPASS</t>
  </si>
  <si>
    <t>FEMORAL POPLITEAL BYPASS REVISION</t>
  </si>
  <si>
    <t>FEMORAL TIBIAL BYPASS REVISION</t>
  </si>
  <si>
    <t>FEMORAL TIBIAL POPLITEAL WITH ARM VEIN GRAFT</t>
  </si>
  <si>
    <t>FISTULA LIGATION</t>
  </si>
  <si>
    <t>FOOT AMPUTATION</t>
  </si>
  <si>
    <t>GREENFIELD CATHETER JUGULAR OR FEMORAL</t>
  </si>
  <si>
    <t>HEMODIALYSIS TUNNELED HD CATHETER PLACEMENT</t>
  </si>
  <si>
    <t>ILIAC/FEMORAL STENTING</t>
  </si>
  <si>
    <t>IVC FILTER PLACEMENT</t>
  </si>
  <si>
    <t>LEG AMPUTATION ABOVE KNEE</t>
  </si>
  <si>
    <t>LEG AMPUTATION BELOW KNEE</t>
  </si>
  <si>
    <t>MEDIAN ARCUATE LIGAMENT RELEASE</t>
  </si>
  <si>
    <t>PHLEBECTOMY</t>
  </si>
  <si>
    <t>PSEUDOANEURYSM REPAIR</t>
  </si>
  <si>
    <t>REMOVAL IVC FILTER</t>
  </si>
  <si>
    <t>RIB RESECTION</t>
  </si>
  <si>
    <t>RIB RESECTION FIRST</t>
  </si>
  <si>
    <t>SAPHENOUS VEIN STRIPPING/THIGH PHLEBECTOMY</t>
  </si>
  <si>
    <t>SUBCLAVIAN ENDARTERECTOMY</t>
  </si>
  <si>
    <t>TOE AMPUTATION</t>
  </si>
  <si>
    <t>TRANSMETATARSAL AMPUTATION</t>
  </si>
  <si>
    <t>UPPER EXTREMITY ANEURYSM REPAIR</t>
  </si>
  <si>
    <t>UPPER EXTREMITY VEIN TRANSPOSITION</t>
  </si>
  <si>
    <t>VEIN LIGATION STRIPPING</t>
  </si>
  <si>
    <t>FOSTER, JAMES</t>
  </si>
  <si>
    <t>GEEHAN, DOUGLAS</t>
  </si>
  <si>
    <t>ANTRECTOMY</t>
  </si>
  <si>
    <t>COLECTOMY TOTAL WITH POUCH</t>
  </si>
  <si>
    <t>EPIGASTRIC HERNIA REPAIR</t>
  </si>
  <si>
    <t>ESOPHAGECTOMY</t>
  </si>
  <si>
    <t>FEMORAL HERNIA REPAIR</t>
  </si>
  <si>
    <t>GANGLION EXCISION</t>
  </si>
  <si>
    <t>GASTRECTOMY SUBTOTAL WITH VAGOTOMY</t>
  </si>
  <si>
    <t>HELLER MYOTOMY LAPAROSCOPIC</t>
  </si>
  <si>
    <t>HEPATIC RESECTION LOBECTOMY</t>
  </si>
  <si>
    <t xml:space="preserve">HIATAL HERNIA REPAIR </t>
  </si>
  <si>
    <t>HIDRADENITIS</t>
  </si>
  <si>
    <t>HIDRADENITIS EXCISION AXILLA WITH STSG</t>
  </si>
  <si>
    <t>HIDRADENITIS EXCISION GROIN WITH STSG</t>
  </si>
  <si>
    <t>HIDRADENITIS EXCISION WITH STSG</t>
  </si>
  <si>
    <t>HYDROCELECTOMY</t>
  </si>
  <si>
    <t>PANCREATECTOMY</t>
  </si>
  <si>
    <t>PROCTECTOMY</t>
  </si>
  <si>
    <t>PROCTOSCOPY</t>
  </si>
  <si>
    <t>STERNAL CLOSE</t>
  </si>
  <si>
    <t>STERNOTOMY</t>
  </si>
  <si>
    <t>KREMER, HOWARD</t>
  </si>
  <si>
    <t>BREAST LUMPECTOMY AXILLARY DISSECTION</t>
  </si>
  <si>
    <t>EXCISE MASS UPPER EXTREMITY</t>
  </si>
  <si>
    <t>FISTULOTOMY</t>
  </si>
  <si>
    <t>INSICIONAL HERNIA REPAIR LAPAROSCOPIC</t>
  </si>
  <si>
    <t>PARATHYROIDECTOMY</t>
  </si>
  <si>
    <t>VAGINAL BIOPSY</t>
  </si>
  <si>
    <t>KUJATH, SCOTT</t>
  </si>
  <si>
    <t>REMORAL EMBOLECTOMY</t>
  </si>
  <si>
    <t>FEMORAL TIBIAL BYPASS</t>
  </si>
  <si>
    <t>MONCURE, MICHAEL</t>
  </si>
  <si>
    <t>CHOLECYSTOJEJUNOSTOMY  ROUX-EN-Y</t>
  </si>
  <si>
    <t>INCISIONAL HERNIA REPAIR</t>
  </si>
  <si>
    <t>INCISIONAL HERNIA REPAIR LAPAROSCOPIC</t>
  </si>
  <si>
    <t>INGUINAL HERNIA REPAIR, LAPAROSCOPIC, TEP</t>
  </si>
  <si>
    <t>THORACOTOMY</t>
  </si>
  <si>
    <t>NEEL, DUSTIN</t>
  </si>
  <si>
    <t>ANAL FISTULA INJECTION/REPAIR</t>
  </si>
  <si>
    <t>BRONCHOSCOPY FLEXIBLE</t>
  </si>
  <si>
    <t>EXCISIONAL BIOPSY</t>
  </si>
  <si>
    <t>ILEOCECAL COLON RESECTION</t>
  </si>
  <si>
    <t>INCISIONAL HERNIA REPAIR WITH MESH</t>
  </si>
  <si>
    <t>THORACIC LAMINECTOMY</t>
  </si>
  <si>
    <t>RAWSON, LYNN</t>
  </si>
  <si>
    <t>BREAST IMPLANT REMOVAL</t>
  </si>
  <si>
    <t>COMMON BILE DUCT EXPLORATION</t>
  </si>
  <si>
    <t>ESOPHAGOGASTRECTOMY</t>
  </si>
  <si>
    <t>FINGER AMPUTATION</t>
  </si>
  <si>
    <t>GASTRECTOMY SUBTOTAL LAPAROSCOPIC</t>
  </si>
  <si>
    <t>ILEAL CONDUIT</t>
  </si>
  <si>
    <t>INGUINAL HERNIA REPAIR, LAPAROSCOPIC, TAPP</t>
  </si>
  <si>
    <t>PERITONEAL CATHETER INSERTION LAPAROSCOPIC</t>
  </si>
  <si>
    <t>THRACHEOSTOMY</t>
  </si>
  <si>
    <t>SHAH, ANUJ</t>
  </si>
  <si>
    <t>ABDOMINAL WALL RECONSTRUCTION</t>
  </si>
  <si>
    <t>DECUBITUS ULCER DEBRIDEMENT WITH FLAP</t>
  </si>
  <si>
    <t>HIATAL HERNIA REPAIR</t>
  </si>
  <si>
    <t>RECTOVAGINAL FISTULA REPAIR</t>
  </si>
  <si>
    <t>TRACHELECTOMY</t>
  </si>
  <si>
    <t>STARK, KARL</t>
  </si>
  <si>
    <t>AXILLA TO SUBCLAVIAN BYPASS</t>
  </si>
  <si>
    <t>FASCIOTOMY</t>
  </si>
  <si>
    <t>POPLITEAL TIBIAL BYPASS</t>
  </si>
  <si>
    <t>STEWART, JAMES</t>
  </si>
  <si>
    <t>BRONCHOSCOPY RIGID</t>
  </si>
  <si>
    <t>CHEST TUBE INSERTION</t>
  </si>
  <si>
    <t>CLAVICLE OPEN REDUCTION INTERNAL FIXATION</t>
  </si>
  <si>
    <t>ESOPHAGEAL DILITATION</t>
  </si>
  <si>
    <t>ESOPHAGOGASTRODUODENOSCOPY</t>
  </si>
  <si>
    <t>ESOPHAGUS RESECTION</t>
  </si>
  <si>
    <t>LOBECTOMY</t>
  </si>
  <si>
    <t>LUNG BIOPSY</t>
  </si>
  <si>
    <t>MEDIASTINOSCOPY</t>
  </si>
  <si>
    <t>MEDIASTINOTOMY</t>
  </si>
  <si>
    <t>PERICARDIAL WINDOW</t>
  </si>
  <si>
    <t>PLEURX CATHETER INSERTION</t>
  </si>
  <si>
    <t>PLEURX CATHETER REMOVAL</t>
  </si>
  <si>
    <t>PNEUMONECTOMY</t>
  </si>
  <si>
    <t>REMOVAL OF STERNAL WIRE</t>
  </si>
  <si>
    <t>SCALENE NODE BIOPSY</t>
  </si>
  <si>
    <t>THORACOSCOPY WITH DECORTICATION</t>
  </si>
  <si>
    <t>THORACOSCOPY WITH PLEURADESIS</t>
  </si>
  <si>
    <t>THORACOTOMY WITH DECORTICATION</t>
  </si>
  <si>
    <t>THYMECTOMY</t>
  </si>
  <si>
    <t>ZENKER'S DIVERTICULUM REPAIR</t>
  </si>
  <si>
    <t>TALBOY, GLENN</t>
  </si>
  <si>
    <t>ABDOMINAL HYSTERECTOMY</t>
  </si>
  <si>
    <t>ABDOMINAL HYSTERECTOMY WITH BILATERAL SALPINGOOOPHORECTOMY</t>
  </si>
  <si>
    <t>LARYNGOSCOPY</t>
  </si>
  <si>
    <t>NECK DISSECTION RADICAL</t>
  </si>
  <si>
    <t>PANCREATIC PSEUDOCYST DRAINAGE</t>
  </si>
  <si>
    <t>VAGOTOMY</t>
  </si>
  <si>
    <t>WAGNER, AUSTIN</t>
  </si>
  <si>
    <t>FEMORAL EMBOLECTOMY</t>
  </si>
  <si>
    <t>WILSON, JONATHAN</t>
  </si>
  <si>
    <t>A V GRAFT EXCISION</t>
  </si>
  <si>
    <t>LEG AMPUTATION BELOW ANKLE</t>
  </si>
  <si>
    <t>**-NULL-**</t>
  </si>
  <si>
    <t>NO</t>
  </si>
  <si>
    <t>YES</t>
  </si>
  <si>
    <t>Languages</t>
  </si>
  <si>
    <t>Arabic</t>
  </si>
  <si>
    <t>Elective</t>
  </si>
  <si>
    <t>Outpatient</t>
  </si>
  <si>
    <t>Somali</t>
  </si>
  <si>
    <t>Emergent</t>
  </si>
  <si>
    <t>Observation</t>
  </si>
  <si>
    <t>Spanish</t>
  </si>
  <si>
    <t>Time</t>
  </si>
  <si>
    <t>Patient Position:</t>
  </si>
  <si>
    <t>Surgical Site Modifier:</t>
  </si>
  <si>
    <t>15 min</t>
  </si>
  <si>
    <t>30 min</t>
  </si>
  <si>
    <t>Bilateral</t>
  </si>
  <si>
    <t>45 min</t>
  </si>
  <si>
    <t>Lithotomy</t>
  </si>
  <si>
    <t>Left</t>
  </si>
  <si>
    <t>Prone</t>
  </si>
  <si>
    <t>Right</t>
  </si>
  <si>
    <t>75 min</t>
  </si>
  <si>
    <t>Supine</t>
  </si>
  <si>
    <t>105 min</t>
  </si>
  <si>
    <t>Anesthesia Type:</t>
  </si>
  <si>
    <t>135 min</t>
  </si>
  <si>
    <t>C-Arm</t>
  </si>
  <si>
    <t>165 min</t>
  </si>
  <si>
    <t>Mini C-Arm</t>
  </si>
  <si>
    <t>Local/Mac</t>
  </si>
  <si>
    <t>Ultrasound</t>
  </si>
  <si>
    <t>Spinal</t>
  </si>
  <si>
    <t>195 min</t>
  </si>
  <si>
    <t>Doppler</t>
  </si>
  <si>
    <t>AFI</t>
  </si>
  <si>
    <t>Pop Block</t>
  </si>
  <si>
    <t>225 min</t>
  </si>
  <si>
    <t>Pop Block Catheter</t>
  </si>
  <si>
    <t>Positioning/Beds</t>
  </si>
  <si>
    <t>Bier Block</t>
  </si>
  <si>
    <t>255 min</t>
  </si>
  <si>
    <t>Brachial Plexus Block</t>
  </si>
  <si>
    <t>Allegro</t>
  </si>
  <si>
    <t>Brachial Plexus Catheter</t>
  </si>
  <si>
    <t>285 min</t>
  </si>
  <si>
    <t>Clinitron - Post Op</t>
  </si>
  <si>
    <t>Peri Bulbar Block</t>
  </si>
  <si>
    <t>Hip Scope Table</t>
  </si>
  <si>
    <t>315 min</t>
  </si>
  <si>
    <t>Jackson Flat Top</t>
  </si>
  <si>
    <t>Equipment Requiring Rep:</t>
  </si>
  <si>
    <t xml:space="preserve"> </t>
  </si>
  <si>
    <t>Jackson Fracture</t>
  </si>
  <si>
    <t>345 min</t>
  </si>
  <si>
    <t>Jackson Spine</t>
  </si>
  <si>
    <t>Cell Saver</t>
  </si>
  <si>
    <t>Stirrups Allen</t>
  </si>
  <si>
    <t>CO2 Laser</t>
  </si>
  <si>
    <t>375 min</t>
  </si>
  <si>
    <t>Stirrups J</t>
  </si>
  <si>
    <t>Holmium Laser</t>
  </si>
  <si>
    <t>Stirrups Yellow Fin</t>
  </si>
  <si>
    <t>Nagivation</t>
  </si>
  <si>
    <t>405 min</t>
  </si>
  <si>
    <t>Neuro Monitoring</t>
  </si>
  <si>
    <t>Other Equipment:</t>
  </si>
  <si>
    <t>435 min</t>
  </si>
  <si>
    <t>Aquamantys</t>
  </si>
  <si>
    <t>465 min</t>
  </si>
  <si>
    <t>Harmonic/Enseal</t>
  </si>
  <si>
    <t>Supplies:</t>
  </si>
  <si>
    <t>Ligasure</t>
  </si>
  <si>
    <t>Microwave Ablation</t>
  </si>
  <si>
    <t>Vascular Graft</t>
  </si>
  <si>
    <t>Misonix</t>
  </si>
  <si>
    <t>Mesh</t>
  </si>
  <si>
    <t>Myosure</t>
  </si>
  <si>
    <t>Wound Vac Sponges: SM Black  qty: _____</t>
  </si>
  <si>
    <t>NanoKnife</t>
  </si>
  <si>
    <t>Wound Vac Sponges: MED. Black  qty: _____</t>
  </si>
  <si>
    <t>Novasure</t>
  </si>
  <si>
    <t>Wound Vac Sponges: LRG. Black  qty: _____</t>
  </si>
  <si>
    <t>Versajet</t>
  </si>
  <si>
    <t>Wound Vac Sponges: SILVER. Black  qty: _____</t>
  </si>
  <si>
    <t>Wound Vac</t>
  </si>
  <si>
    <t>Wound Vac Sponges: LRG. White qty: _____</t>
  </si>
  <si>
    <t>Wound Vac Sponges: SM. White qty: _____</t>
  </si>
  <si>
    <t>Vendors:</t>
  </si>
  <si>
    <t>Acell</t>
  </si>
  <si>
    <t>Acumed</t>
  </si>
  <si>
    <t>Arthrex</t>
  </si>
  <si>
    <t>Biomet</t>
  </si>
  <si>
    <t>Cyberonics / LivaNova</t>
  </si>
  <si>
    <t>Ethicon</t>
  </si>
  <si>
    <t>Gore</t>
  </si>
  <si>
    <t>Hologic</t>
  </si>
  <si>
    <t>Integra</t>
  </si>
  <si>
    <t>KLS Martin</t>
  </si>
  <si>
    <t>Life Cell</t>
  </si>
  <si>
    <t>Med Artis</t>
  </si>
  <si>
    <t>Medtronic</t>
  </si>
  <si>
    <t>Smith+Nephew</t>
  </si>
  <si>
    <t xml:space="preserve">Stryker </t>
  </si>
  <si>
    <t>Synthes</t>
  </si>
  <si>
    <t>Trimed</t>
  </si>
  <si>
    <t>Wright</t>
  </si>
  <si>
    <t>Location</t>
  </si>
  <si>
    <t>Priority</t>
  </si>
  <si>
    <t>Encounter Type</t>
  </si>
  <si>
    <t>HH Main OR - RightFax: 49476 (Phone: 41653)</t>
  </si>
  <si>
    <t>Yes_No</t>
  </si>
  <si>
    <t>UH Surg Center - Right Fax: 41267 (Phone:41263)</t>
  </si>
  <si>
    <t>CPT4 Code</t>
  </si>
  <si>
    <t xml:space="preserve">Rep to be Present for Procedure? </t>
  </si>
  <si>
    <t>Ahmadiyeh_Nasim</t>
  </si>
  <si>
    <t>Augustin_Stanley</t>
  </si>
  <si>
    <t>Carter_Robert</t>
  </si>
  <si>
    <t>Foster_James</t>
  </si>
  <si>
    <t>Geehan_Douglas</t>
  </si>
  <si>
    <t>Kremer_Howard</t>
  </si>
  <si>
    <t>Kujath_Scott</t>
  </si>
  <si>
    <t>Moncure_Michael</t>
  </si>
  <si>
    <t>Neel_Dustin</t>
  </si>
  <si>
    <t>Rawson_Lynn</t>
  </si>
  <si>
    <t>Shah_Anuj</t>
  </si>
  <si>
    <t>Stewart_James</t>
  </si>
  <si>
    <t>Talboy_Glenn</t>
  </si>
  <si>
    <t>Wagner_Austin</t>
  </si>
  <si>
    <t>Wilson_Jonathan</t>
  </si>
  <si>
    <t>Stark_Karl</t>
  </si>
  <si>
    <t>Selected Procedure</t>
  </si>
  <si>
    <t>CPT4_Code</t>
  </si>
  <si>
    <t xml:space="preserve">CPT4 CODES SELECTED: </t>
  </si>
  <si>
    <t>GIANINO, JOHN</t>
  </si>
  <si>
    <t>BRACHIAL PLEXUS TUMOR RESECTION</t>
  </si>
  <si>
    <t>BRAIN BIOPSY - STRYKER NAVIGATION</t>
  </si>
  <si>
    <t>BRAIN BIOPSY STEREOTACTIC</t>
  </si>
  <si>
    <t>BURR HOLES</t>
  </si>
  <si>
    <t>CARPAL TUNNEL RELEASE UNILATERAL</t>
  </si>
  <si>
    <t>CERVICAL FUSION ANTERIOR</t>
  </si>
  <si>
    <t>CERVICAL FUSION POSTERIOR</t>
  </si>
  <si>
    <t>CERVICAL LAMINECTOMY POSTERIOR</t>
  </si>
  <si>
    <t>CHIARI MALFORMATION DECOMRESSION</t>
  </si>
  <si>
    <t>CRANIECTOMY</t>
  </si>
  <si>
    <t>CRANIAL BONE FLAP REPLACEMENT</t>
  </si>
  <si>
    <t>CRANIECTOMY POSTERIOR FOSSA</t>
  </si>
  <si>
    <t>CRANIOPLASTY</t>
  </si>
  <si>
    <t>CRANIOTOMY</t>
  </si>
  <si>
    <t>CRANIOTOMY FOR ANEURYSM</t>
  </si>
  <si>
    <t>CRANIOTOMY FOR AVM</t>
  </si>
  <si>
    <t>CRANIOTOMY FOR TUMOR</t>
  </si>
  <si>
    <t>ENDOSCOPIC RESECTION 3RD VENTRICLOSTOMY</t>
  </si>
  <si>
    <t>IRRIGATION AND DEBRIDEMENT</t>
  </si>
  <si>
    <t>INCISION AND DEBRIDEMENT OF SCALP WOUND</t>
  </si>
  <si>
    <t>LUMBAR DISCECTOMY</t>
  </si>
  <si>
    <t>LUMBAR FUSION</t>
  </si>
  <si>
    <t>LUMBAR LAMINECTOMY POSTERIOR</t>
  </si>
  <si>
    <t>LUMBAR PERITONEAL SHUNT</t>
  </si>
  <si>
    <t>ODONTOID FRACTURE SCREW FIX</t>
  </si>
  <si>
    <t>PLACEMENT OF OMAYA RESERVOIR WITH NAVIGATION</t>
  </si>
  <si>
    <t>REMOVAL OF VAGAL NERVE STIMULATOR</t>
  </si>
  <si>
    <t>REMOVAL OMAYA RESERVOIR</t>
  </si>
  <si>
    <t>SKULL BIOPSY</t>
  </si>
  <si>
    <t>SUBOCCIPITAL CRANIOTOMY WITH RESECTION OF ACOUSTIC NEUROMA</t>
  </si>
  <si>
    <t>SURAL NERVE BIOPSY</t>
  </si>
  <si>
    <t>THORACIC DISCECTOMY</t>
  </si>
  <si>
    <t>THORACIC FUSION POSTERIOR</t>
  </si>
  <si>
    <t>THORACIC LAMINECTOMY AND FUSION ANTERIOR</t>
  </si>
  <si>
    <t>TRANSPHENOIDAL PITUITARY TUMOR EXCISION</t>
  </si>
  <si>
    <t>TRANSPHENOIDAL REPAIR OF CSF FISTULA</t>
  </si>
  <si>
    <t>ULNAR NERVE DECOMPRESSION</t>
  </si>
  <si>
    <t>ULNAR NERVE TRANSPOTION</t>
  </si>
  <si>
    <t>VEGAL NERVE GENERATOR REPLACEMENT</t>
  </si>
  <si>
    <t xml:space="preserve">VENTRICULAR CATHETER REVISION </t>
  </si>
  <si>
    <t>VENTRICULAR PERITONEAL SHUNT</t>
  </si>
  <si>
    <t>**-NULL--**</t>
  </si>
  <si>
    <t>Gianino_John</t>
  </si>
  <si>
    <t>**--NULL--**</t>
  </si>
  <si>
    <t>47600 &amp; 47550</t>
  </si>
  <si>
    <t>49650/49568</t>
  </si>
  <si>
    <t>37785, 37765</t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</si>
  <si>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1    </t>
    </r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</si>
  <si>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10+ </t>
    </r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</si>
  <si>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9    </t>
    </r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</si>
  <si>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8   </t>
    </r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</si>
  <si>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7  </t>
    </r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</si>
  <si>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6  </t>
    </r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</si>
  <si>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5  </t>
    </r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</si>
  <si>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4  </t>
    </r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</si>
  <si>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3   </t>
    </r>
  </si>
  <si>
    <r>
      <t xml:space="preserve">(# of IP Days Req.): </t>
    </r>
    <r>
      <rPr>
        <b/>
        <u/>
        <sz val="11"/>
        <color theme="1"/>
        <rFont val="Calibri"/>
        <family val="2"/>
        <scheme val="minor"/>
      </rPr>
      <t xml:space="preserve">   2   </t>
    </r>
  </si>
  <si>
    <t>AM_Admit</t>
  </si>
  <si>
    <t xml:space="preserve">AM_Admit </t>
  </si>
  <si>
    <t xml:space="preserve">Inpatient </t>
  </si>
  <si>
    <t>Left Lateral</t>
  </si>
  <si>
    <t>Right Lateral</t>
  </si>
  <si>
    <t xml:space="preserve">  *Procedure Text:</t>
  </si>
  <si>
    <t xml:space="preserve"> Surgical Site Modifier:</t>
  </si>
  <si>
    <t>*Reviewed By Staff Surgeon:</t>
  </si>
  <si>
    <t>Theoharidis_Akilis</t>
  </si>
  <si>
    <t>BONE BIOPSY</t>
  </si>
  <si>
    <t>BUNIONECTOMY</t>
  </si>
  <si>
    <t>FOOT LESION EXCISION</t>
  </si>
  <si>
    <t>HAMMER TOE REPAIR UNILATERAL</t>
  </si>
  <si>
    <t>TARSAL TUNNEL RELEASE FOOT</t>
  </si>
  <si>
    <t>TOE NAIL ABLATION BILATERAL</t>
  </si>
  <si>
    <t>TOE NAIL ABLATION UNILATERAL</t>
  </si>
  <si>
    <t>90 min (1.5 Hrs)</t>
  </si>
  <si>
    <t>60 min (1 Hr)</t>
  </si>
  <si>
    <t>120 min (2 Hrs)</t>
  </si>
  <si>
    <t>150 min (2.5 Hrs)</t>
  </si>
  <si>
    <t>180 min (3 Hrs)</t>
  </si>
  <si>
    <t>210 min (3. 5 Hrs)</t>
  </si>
  <si>
    <t>240 min (4 Hrs)</t>
  </si>
  <si>
    <t>270 min (4.5 Hrs)</t>
  </si>
  <si>
    <t>300 min (5 Hrs)</t>
  </si>
  <si>
    <t>330 min (5.5 Hrs)</t>
  </si>
  <si>
    <t>360 min (6 Hrs)</t>
  </si>
  <si>
    <t>390 min (6.5 Hrs)</t>
  </si>
  <si>
    <t>420 min (7 Hrs)</t>
  </si>
  <si>
    <t>450 min (7.5 Hrs)</t>
  </si>
  <si>
    <t>480 min (8 Hrs)</t>
  </si>
  <si>
    <r>
      <t>*</t>
    </r>
    <r>
      <rPr>
        <b/>
        <sz val="12"/>
        <color theme="1"/>
        <rFont val="Calibri"/>
        <family val="2"/>
        <scheme val="minor"/>
      </rPr>
      <t>Completed By:</t>
    </r>
    <r>
      <rPr>
        <b/>
        <sz val="12"/>
        <color theme="1"/>
        <rFont val="Calibri"/>
        <family val="2"/>
        <scheme val="minor"/>
      </rPr>
      <t/>
    </r>
  </si>
  <si>
    <t>*Pager/Ext.</t>
  </si>
  <si>
    <t>Time Stamp:</t>
  </si>
  <si>
    <t>Equipment:</t>
  </si>
  <si>
    <t xml:space="preserve">Interpreter  Needed: </t>
  </si>
  <si>
    <t xml:space="preserve">*MRN #:  </t>
  </si>
  <si>
    <t xml:space="preserve">  *DOB:</t>
  </si>
  <si>
    <t>BLADDER NECK INCISION</t>
  </si>
  <si>
    <t>BLADDER REPAIR</t>
  </si>
  <si>
    <t>CIRCUMCISION</t>
  </si>
  <si>
    <t>CYSTO BLADDER BIOPSY</t>
  </si>
  <si>
    <t>CYSTO FULGURATION OF WARTS</t>
  </si>
  <si>
    <t>CYSTO INTERNAL URETHROTOMY</t>
  </si>
  <si>
    <t>CYSTO OPEN SUPRAPUBIC CATHETER PLACEMENT</t>
  </si>
  <si>
    <t>CYSTO PERCUTANEOUS SUPRAPUBIC TUBE PLACEMENT</t>
  </si>
  <si>
    <t>CYSTO STONE MANIPULATION</t>
  </si>
  <si>
    <t>CYSTO TUR BLADDER</t>
  </si>
  <si>
    <t>CYSTO TUR PROSTATE</t>
  </si>
  <si>
    <t>CYSTO URETEROSCOPY</t>
  </si>
  <si>
    <t>CYSTO URETHRAL DILATATION</t>
  </si>
  <si>
    <t>CYSTO, INSERTION OF STENT FOR ANOTHER SERVICE</t>
  </si>
  <si>
    <t>CYSTOLITHOLOPAXY</t>
  </si>
  <si>
    <t>CYSTOLITHOTOMY</t>
  </si>
  <si>
    <t>CYSTOSCOPY</t>
  </si>
  <si>
    <t>CYSTOSCOPY REMOVAL OF URETERAL STENT</t>
  </si>
  <si>
    <t>CYSTOSCOPY RETROGRADE PYELOGRAM</t>
  </si>
  <si>
    <t>CYSTOSCOPY WITH LITHOTRIPSY URETEROSCOPY</t>
  </si>
  <si>
    <t>ILEOVESICOSTOMY</t>
  </si>
  <si>
    <t>LITHOTRIPSY</t>
  </si>
  <si>
    <t>NEPHRECTOMY PARTIAL</t>
  </si>
  <si>
    <t>NEPHRECTOMY RADICAL</t>
  </si>
  <si>
    <t>NEPHRECTOMY INGUINAL</t>
  </si>
  <si>
    <t>ORCHIECTOMY SCROTAL</t>
  </si>
  <si>
    <t>PENILE LESION EXCISION</t>
  </si>
  <si>
    <t>PENILE TRAUMA</t>
  </si>
  <si>
    <t>PENILE WART FULGERATION WITH LASER</t>
  </si>
  <si>
    <t>PRIAPISM</t>
  </si>
  <si>
    <t>PROSTATE BIOPSY NEEDLE</t>
  </si>
  <si>
    <t>PROSTATECTOMY PERINEAL</t>
  </si>
  <si>
    <t>PROSTATECTOMY RADICAL</t>
  </si>
  <si>
    <t>PYELOPLASTY</t>
  </si>
  <si>
    <t>SCROTAL EXPLORATION</t>
  </si>
  <si>
    <t>SPERMATOCELCETOMY</t>
  </si>
  <si>
    <t>TENSION FREE VAGINAL TAPING</t>
  </si>
  <si>
    <t>TURP WITH GREEN LIGHT LASER</t>
  </si>
  <si>
    <t>URETERAL REIMPLANTATION</t>
  </si>
  <si>
    <t>URETEROSCOPY</t>
  </si>
  <si>
    <t>URETHROPEXY</t>
  </si>
  <si>
    <t>VAGINAL URETHRAL SLING REMOVAL</t>
  </si>
  <si>
    <t>VAGINAL URETHRAL SLING</t>
  </si>
  <si>
    <t>VASECTOMY</t>
  </si>
  <si>
    <t>VESICOVAGINAL FISTULA REPAIR ABDOMINAL APPROACH</t>
  </si>
  <si>
    <t>VESICOVAGINAL FISTULA REPAIR PERINEAL APPROACH</t>
  </si>
  <si>
    <t>Neff_Donald</t>
  </si>
  <si>
    <t>Wyre_Hadley</t>
  </si>
  <si>
    <t>CYSTECTOMY ILEODIVERSION</t>
  </si>
  <si>
    <t>URETERAL REIMPLANTATION LAPAROSCOPIC</t>
  </si>
  <si>
    <t>CYSTECTOMY</t>
  </si>
  <si>
    <t>NEPHRECTOMY LAPAROSCOPIC</t>
  </si>
  <si>
    <t>NEPHRECTOMY LAPAROSCOPIC PARTIAL</t>
  </si>
  <si>
    <t>NEPHRECTOMY LAPAROSCOPIC WITH URETERECTOMY</t>
  </si>
  <si>
    <t>ORCHIECTOMY INGUINAL</t>
  </si>
  <si>
    <t>PENILE SKIN GRAFT</t>
  </si>
  <si>
    <t>PENIS AMPUTATION</t>
  </si>
  <si>
    <t>PERCUTANEOUS NEPHROLITHOTOMY</t>
  </si>
  <si>
    <t>PROSTATECTOMY RETROPUBIC</t>
  </si>
  <si>
    <t>RADICAL CYSTOPROSTATECTOMY WITH NEOBLADDER</t>
  </si>
  <si>
    <t>RETROPERITONEAL LYMPH NODE DISSECTION</t>
  </si>
  <si>
    <t>URETHROPLASTY</t>
  </si>
  <si>
    <t>Johnston_Benjamin</t>
  </si>
  <si>
    <t>HEPATECTOMY</t>
  </si>
  <si>
    <t>LAPAROSCOPIC ABLATION HEPATIC/PANCREATIC TUMOR</t>
  </si>
  <si>
    <t>LIVER BIOPSY LAPAROSCOPIC</t>
  </si>
  <si>
    <t>LIVER RESECTION LAPAROSCOPIC</t>
  </si>
  <si>
    <t>Molina_Wilson</t>
  </si>
  <si>
    <t>*(REQUESTED) Start Time :</t>
  </si>
  <si>
    <t>CYSTO INSERTION OF URETERAL STENT</t>
  </si>
  <si>
    <t>ORCHIOPEXY</t>
  </si>
  <si>
    <t>Kowalik_Casey</t>
  </si>
  <si>
    <t>CYSTO, HYDRODILATION BLADDER (MALE)</t>
  </si>
  <si>
    <t>URETHRAL DIVERTICULECTOMY (MALE)</t>
  </si>
  <si>
    <t>URETHRAL DIVERTICULECTOMY (FEMALE)</t>
  </si>
  <si>
    <t>URETHRAL WART ABLATION (MALE)</t>
  </si>
  <si>
    <t>URETHRAL WART ABLATION (FEMALE)</t>
  </si>
  <si>
    <t>WOUND EXPLORATION (SPECIFY LOCATION)</t>
  </si>
  <si>
    <t>EXCISIONAL BIOPSY (SPECIFY LOCATION)</t>
  </si>
  <si>
    <t>Date_Picker:</t>
  </si>
  <si>
    <t>Code Needed</t>
  </si>
  <si>
    <t/>
  </si>
  <si>
    <t>*Preference Card 1:</t>
  </si>
  <si>
    <t>Preference Card 2:</t>
  </si>
  <si>
    <t>CPT4 Correction:</t>
  </si>
  <si>
    <t>Procedure 1 :</t>
  </si>
  <si>
    <t>Procedure 2 :</t>
  </si>
  <si>
    <t>IS FOUND</t>
  </si>
  <si>
    <t>FREQUENCY</t>
  </si>
  <si>
    <t>SEARCHABLE LIST</t>
  </si>
  <si>
    <t>Exparel Tap Block</t>
  </si>
  <si>
    <t>General</t>
  </si>
  <si>
    <t>DAVINCI ADRENALECTOMY</t>
  </si>
  <si>
    <t>DAVINCI APPENDECTOMY</t>
  </si>
  <si>
    <t>DAVINCI CHOLECYSTECTOMY (Single Site)</t>
  </si>
  <si>
    <t>DAVINCI CHOLECYSTECTOMY</t>
  </si>
  <si>
    <t>DAVINCI COLECTOMY</t>
  </si>
  <si>
    <t>DAVINCI COLOSTOMY TAKEDOWN</t>
  </si>
  <si>
    <t xml:space="preserve">DAVINCI HEMICOLECTOMY </t>
  </si>
  <si>
    <t>DAVINCI HEMI-COLECTOMY (LEFT OR RIGHT)</t>
  </si>
  <si>
    <t>DAVINCI HYSTERECTOMY</t>
  </si>
  <si>
    <t>DAVINCI HYSTERECTOMY WITH TVT</t>
  </si>
  <si>
    <t>DAVINCI ILEOSTOMY REVERSAL</t>
  </si>
  <si>
    <t>DAVINCI INCISIONAL HERNIA</t>
  </si>
  <si>
    <t>DAVINCI INGUINAL HERNIA</t>
  </si>
  <si>
    <t>DAVINCI LAPAROSCOPIC APPENDENCTOMY</t>
  </si>
  <si>
    <t>DAVINCI LAPAROSCOPIC CHOLECYSTECTOMY</t>
  </si>
  <si>
    <t>DAVINCI LAPAROSCOPY</t>
  </si>
  <si>
    <t>DAVINCI MYOMECTOMY</t>
  </si>
  <si>
    <t>DAVINCI MYOTOMY</t>
  </si>
  <si>
    <t>DAVINCI NISSEN FUNDOPLICATION</t>
  </si>
  <si>
    <t>DAVINCI OOPHERECTOMY</t>
  </si>
  <si>
    <t>DAVINCI PARAESOPHAGEAL HERNIA REPAIR</t>
  </si>
  <si>
    <t>DAVINCI PERITONEAL RESECTION</t>
  </si>
  <si>
    <t>DAVINCI UMBILICAL HERNIA</t>
  </si>
  <si>
    <t>DAVINCI VENTRAL HERNIA REPAIR</t>
  </si>
  <si>
    <t>DAVINCI CYSTECTOMY</t>
  </si>
  <si>
    <t>DAVINCI FISTULA REPAIR</t>
  </si>
  <si>
    <t>DAVINCI PROSTATECTOMY</t>
  </si>
  <si>
    <t>DAVINCI SACROCOLPOPEXY</t>
  </si>
  <si>
    <t>DAVINCI SALPINGECTOMY</t>
  </si>
  <si>
    <t>DAVINCI SIGMOIDECTOMY</t>
  </si>
  <si>
    <t>DAVINCI SUPRACERVICAL HYSTERECTOMY</t>
  </si>
  <si>
    <t>DAVINCI SUPRACERVICAL WITH SACROCOLPOPEXY</t>
  </si>
  <si>
    <t>DAVINCI TUBAL LIGATION</t>
  </si>
  <si>
    <t>ADRENALECTOMY WITH EXCISION OF RETROPERITONEAL TUMOR</t>
  </si>
  <si>
    <t>S2900 &amp; 60540</t>
  </si>
  <si>
    <t>S2900 &amp; 44950</t>
  </si>
  <si>
    <t>S2900 &amp; 47600</t>
  </si>
  <si>
    <t>S2900 &amp; 44204</t>
  </si>
  <si>
    <t>S2900 &amp; 44620</t>
  </si>
  <si>
    <t>S2900 &amp; 51570</t>
  </si>
  <si>
    <t>S2900 &amp; 44227</t>
  </si>
  <si>
    <t>S2900 &amp; 49650</t>
  </si>
  <si>
    <t xml:space="preserve">S2900 &amp; 49650 </t>
  </si>
  <si>
    <t>S2900 &amp; 44970</t>
  </si>
  <si>
    <t>S2900 &amp; 47562</t>
  </si>
  <si>
    <t>S2900 &amp; 43279</t>
  </si>
  <si>
    <t>S2900 &amp; 43280</t>
  </si>
  <si>
    <t>S2900 &amp; 49652</t>
  </si>
  <si>
    <t>LUMBAR INTRATHECAL PUMP INSERTION</t>
  </si>
  <si>
    <t>VEGAL NERVE STIMULATOR PLACEMENT</t>
  </si>
  <si>
    <t>BLADDER SACRAL NERVE STIMULATOR PLACEMENT</t>
  </si>
  <si>
    <t>CYSTO, HYDRODILATION BLADDER</t>
  </si>
  <si>
    <t>CYSTOSCOPY WITH BOTOX INJECTION</t>
  </si>
  <si>
    <t>CYSTOSCOPY WITH LITHOTRIPSY URETERSCOPY</t>
  </si>
  <si>
    <t>NEPHROSCOPY</t>
  </si>
  <si>
    <t>LESION EXCISION PERINEUM</t>
  </si>
  <si>
    <t>CYSTECTOMY PARTIAL</t>
  </si>
  <si>
    <t>EPIDIDYMECTOMY</t>
  </si>
  <si>
    <t>PENILE PLICATION</t>
  </si>
  <si>
    <t>SPERMATOCELECTOMY</t>
  </si>
  <si>
    <t>URINARY SHINCTER REPLACEMENT</t>
  </si>
  <si>
    <t>PENILE PROSTHESIS INSERTION</t>
  </si>
  <si>
    <t>PERINEAL WART FULGURATION WITH LASER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</si>
</sst>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mbria"/>
      <family val="1"/>
      <scheme val="major"/>
    </font>
    <font>
      <sz val="11"/>
      <color theme="1"/>
      <name val="Calibri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A6F06"/>
        <bgColor indexed="64"/>
      </patternFill>
    </fill>
    <fill>
      <patternFill patternType="solid">
        <fgColor rgb="FFFA6F06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EB"/>
        <bgColor indexed="64"/>
      </patternFill>
    </fill>
  </fills>
  <borders count="40">
    <border>
      <left/>
      <right/>
      <top/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n">
        <color rgb="FFFFC000"/>
      </top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 style="mediumDashDotDot">
        <color rgb="FFFA6F06"/>
      </left>
      <right style="medium">
        <color rgb="FFFA6F06"/>
      </right>
      <top style="medium">
        <color rgb="FFFA6F06"/>
      </top>
      <bottom/>
      <diagonal/>
    </border>
    <border>
      <left style="mediumDashDotDot">
        <color rgb="FFFA6F06"/>
      </left>
      <right style="medium">
        <color rgb="FFFA6F06"/>
      </right>
      <top/>
      <bottom style="medium">
        <color rgb="FFFA6F06"/>
      </bottom>
      <diagonal/>
    </border>
    <border>
      <left style="medium">
        <color rgb="FFFA6F06"/>
      </left>
      <right style="mediumDashDotDot">
        <color rgb="FFFA6F06"/>
      </right>
      <top style="medium">
        <color rgb="FFFA6F06"/>
      </top>
      <bottom/>
      <diagonal/>
    </border>
    <border>
      <left style="medium">
        <color rgb="FFFA6F06"/>
      </left>
      <right style="mediumDashDotDot">
        <color rgb="FFFA6F06"/>
      </right>
      <top/>
      <bottom style="medium">
        <color rgb="FFFA6F06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 style="medium">
        <color theme="8" tint="-0.24994659260841701"/>
      </left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/>
      <diagonal/>
    </border>
  </borders>
  <cellStyleXfs count="1">
    <xf numFmtId="0" fontId="0" fillId="0" borderId="0"/>
  </cellStyleXfs>
  <cellXfs count="197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Border="1" applyAlignment="1">
      <alignment horizontal="right" vertical="center"/>
    </xf>
    <xf numFmtId="0" fontId="0" fillId="0" borderId="0" xfId="0" applyFont="1" applyAlignment="1">
      <alignment vertical="center"/>
    </xf>
    <xf numFmtId="0" fontId="4" fillId="0" borderId="0" xfId="0" applyFont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7" fillId="0" borderId="0" xfId="0" applyFont="1" applyBorder="1" applyAlignment="1"/>
    <xf numFmtId="0" fontId="2" fillId="0" borderId="0" xfId="0" applyFont="1"/>
    <xf numFmtId="0" fontId="2" fillId="0" borderId="0" xfId="0" applyFont="1" applyFill="1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5" xfId="0" applyFont="1" applyBorder="1"/>
    <xf numFmtId="0" fontId="1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7" fillId="0" borderId="5" xfId="0" applyFont="1" applyBorder="1" applyAlignment="1"/>
    <xf numFmtId="0" fontId="2" fillId="0" borderId="5" xfId="0" applyFont="1" applyFill="1" applyBorder="1"/>
    <xf numFmtId="0" fontId="0" fillId="0" borderId="5" xfId="0" applyBorder="1"/>
    <xf numFmtId="0" fontId="1" fillId="2" borderId="0" xfId="0" applyFont="1" applyFill="1"/>
    <xf numFmtId="0" fontId="4" fillId="0" borderId="4" xfId="0" applyFont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6" xfId="0" applyFont="1" applyFill="1" applyBorder="1"/>
    <xf numFmtId="0" fontId="0" fillId="0" borderId="8" xfId="0" applyFont="1" applyFill="1" applyBorder="1"/>
    <xf numFmtId="0" fontId="1" fillId="3" borderId="0" xfId="0" applyFont="1" applyFill="1" applyBorder="1"/>
    <xf numFmtId="0" fontId="0" fillId="0" borderId="0" xfId="0" applyFont="1" applyFill="1" applyBorder="1"/>
    <xf numFmtId="0" fontId="0" fillId="0" borderId="9" xfId="0" applyBorder="1"/>
    <xf numFmtId="0" fontId="1" fillId="0" borderId="0" xfId="0" applyFont="1" applyFill="1" applyBorder="1"/>
    <xf numFmtId="0" fontId="8" fillId="0" borderId="8" xfId="0" applyFont="1" applyFill="1" applyBorder="1"/>
    <xf numFmtId="0" fontId="8" fillId="0" borderId="8" xfId="0" applyNumberFormat="1" applyFont="1" applyFill="1" applyBorder="1"/>
    <xf numFmtId="0" fontId="0" fillId="0" borderId="0" xfId="0" applyFill="1" applyBorder="1"/>
    <xf numFmtId="0" fontId="0" fillId="0" borderId="10" xfId="0" applyFont="1" applyBorder="1"/>
    <xf numFmtId="0" fontId="1" fillId="4" borderId="0" xfId="0" applyFont="1" applyFill="1" applyBorder="1"/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left"/>
    </xf>
    <xf numFmtId="0" fontId="2" fillId="0" borderId="13" xfId="0" applyFont="1" applyBorder="1" applyAlignment="1">
      <alignment horizontal="right"/>
    </xf>
    <xf numFmtId="0" fontId="0" fillId="0" borderId="0" xfId="0" applyFont="1" applyBorder="1"/>
    <xf numFmtId="0" fontId="0" fillId="0" borderId="0" xfId="0" applyFill="1"/>
    <xf numFmtId="0" fontId="9" fillId="0" borderId="8" xfId="0" applyNumberFormat="1" applyFont="1" applyFill="1" applyBorder="1"/>
    <xf numFmtId="0" fontId="9" fillId="0" borderId="8" xfId="0" applyFont="1" applyFill="1" applyBorder="1"/>
    <xf numFmtId="0" fontId="9" fillId="0" borderId="0" xfId="0" applyFont="1" applyBorder="1"/>
    <xf numFmtId="0" fontId="9" fillId="0" borderId="0" xfId="0" applyFont="1"/>
    <xf numFmtId="0" fontId="0" fillId="0" borderId="5" xfId="0" applyFont="1" applyFill="1" applyBorder="1" applyAlignment="1">
      <alignment horizontal="center"/>
    </xf>
    <xf numFmtId="0" fontId="1" fillId="3" borderId="20" xfId="0" applyFont="1" applyFill="1" applyBorder="1"/>
    <xf numFmtId="0" fontId="0" fillId="0" borderId="5" xfId="0" applyFont="1" applyFill="1" applyBorder="1"/>
    <xf numFmtId="3" fontId="0" fillId="0" borderId="5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/>
    <xf numFmtId="49" fontId="2" fillId="0" borderId="5" xfId="0" applyNumberFormat="1" applyFont="1" applyBorder="1"/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right" vertical="center" wrapText="1"/>
    </xf>
    <xf numFmtId="0" fontId="1" fillId="5" borderId="0" xfId="0" applyFont="1" applyFill="1" applyBorder="1"/>
    <xf numFmtId="0" fontId="0" fillId="0" borderId="5" xfId="0" applyNumberFormat="1" applyFont="1" applyFill="1" applyBorder="1" applyAlignment="1">
      <alignment horizontal="center"/>
    </xf>
    <xf numFmtId="0" fontId="0" fillId="0" borderId="21" xfId="0" applyFont="1" applyFill="1" applyBorder="1"/>
    <xf numFmtId="0" fontId="4" fillId="6" borderId="1" xfId="0" applyFont="1" applyFill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Fill="1" applyBorder="1" applyAlignment="1" applyProtection="1">
      <alignment horizontal="left" vertical="center" wrapText="1"/>
    </xf>
    <xf numFmtId="0" fontId="4" fillId="0" borderId="0" xfId="0" applyFont="1" applyBorder="1" applyAlignment="1" applyProtection="1">
      <alignment horizontal="right" vertical="center"/>
    </xf>
    <xf numFmtId="0" fontId="0" fillId="0" borderId="0" xfId="0" applyProtection="1"/>
    <xf numFmtId="0" fontId="4" fillId="0" borderId="0" xfId="0" applyFont="1" applyFill="1" applyBorder="1" applyAlignment="1" applyProtection="1">
      <alignment horizontal="left" vertical="center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4" fillId="0" borderId="0" xfId="0" applyFont="1" applyBorder="1" applyAlignment="1" applyProtection="1">
      <alignment horizontal="left" vertical="center"/>
    </xf>
    <xf numFmtId="0" fontId="4" fillId="6" borderId="22" xfId="0" applyFont="1" applyFill="1" applyBorder="1" applyAlignment="1" applyProtection="1">
      <alignment horizontal="center" vertical="center"/>
      <protection locked="0"/>
    </xf>
    <xf numFmtId="0" fontId="4" fillId="6" borderId="22" xfId="0" applyFont="1" applyFill="1" applyBorder="1" applyAlignment="1" applyProtection="1">
      <alignment horizontal="left" vertical="center"/>
      <protection locked="0"/>
    </xf>
    <xf numFmtId="0" fontId="2" fillId="6" borderId="23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vertical="center" wrapText="1"/>
    </xf>
    <xf numFmtId="0" fontId="2" fillId="6" borderId="26" xfId="0" applyFont="1" applyFill="1" applyBorder="1" applyAlignment="1" applyProtection="1">
      <alignment horizontal="center" vertical="center"/>
      <protection locked="0"/>
    </xf>
    <xf numFmtId="0" fontId="2" fillId="6" borderId="23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horizontal="right" vertical="top"/>
    </xf>
    <xf numFmtId="22" fontId="7" fillId="0" borderId="0" xfId="0" applyNumberFormat="1" applyFont="1" applyBorder="1" applyAlignment="1">
      <alignment horizontal="center" vertical="top"/>
    </xf>
    <xf numFmtId="0" fontId="0" fillId="0" borderId="34" xfId="0" applyFont="1" applyBorder="1"/>
    <xf numFmtId="0" fontId="0" fillId="0" borderId="21" xfId="0" applyFont="1" applyBorder="1"/>
    <xf numFmtId="0" fontId="9" fillId="0" borderId="0" xfId="0" applyFont="1" applyFill="1" applyBorder="1" applyAlignment="1">
      <alignment horizontal="left"/>
    </xf>
    <xf numFmtId="0" fontId="0" fillId="0" borderId="35" xfId="0" applyFont="1" applyBorder="1"/>
    <xf numFmtId="0" fontId="1" fillId="5" borderId="0" xfId="0" applyFont="1" applyFill="1"/>
    <xf numFmtId="0" fontId="2" fillId="0" borderId="6" xfId="0" applyFont="1" applyBorder="1"/>
    <xf numFmtId="0" fontId="1" fillId="2" borderId="7" xfId="0" applyFont="1" applyFill="1" applyBorder="1"/>
    <xf numFmtId="0" fontId="2" fillId="0" borderId="8" xfId="0" applyFont="1" applyBorder="1"/>
    <xf numFmtId="0" fontId="2" fillId="0" borderId="6" xfId="0" applyFont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49" fontId="2" fillId="0" borderId="6" xfId="0" applyNumberFormat="1" applyFont="1" applyBorder="1"/>
    <xf numFmtId="49" fontId="2" fillId="0" borderId="8" xfId="0" applyNumberFormat="1" applyFont="1" applyBorder="1"/>
    <xf numFmtId="0" fontId="2" fillId="0" borderId="36" xfId="0" applyFont="1" applyBorder="1" applyAlignment="1">
      <alignment horizontal="center"/>
    </xf>
    <xf numFmtId="0" fontId="2" fillId="0" borderId="6" xfId="0" applyFont="1" applyFill="1" applyBorder="1"/>
    <xf numFmtId="0" fontId="2" fillId="0" borderId="8" xfId="0" applyFont="1" applyFill="1" applyBorder="1"/>
    <xf numFmtId="0" fontId="16" fillId="0" borderId="5" xfId="0" applyFont="1" applyFill="1" applyBorder="1" applyAlignment="1">
      <alignment horizontal="center"/>
    </xf>
    <xf numFmtId="0" fontId="17" fillId="0" borderId="8" xfId="0" applyFont="1" applyFill="1" applyBorder="1"/>
    <xf numFmtId="0" fontId="17" fillId="0" borderId="0" xfId="0" applyFont="1" applyFill="1" applyBorder="1"/>
    <xf numFmtId="0" fontId="15" fillId="0" borderId="0" xfId="0" applyFont="1" applyFill="1" applyBorder="1"/>
    <xf numFmtId="0" fontId="8" fillId="0" borderId="0" xfId="0" applyFont="1" applyFill="1" applyBorder="1"/>
    <xf numFmtId="14" fontId="2" fillId="0" borderId="0" xfId="0" applyNumberFormat="1" applyFont="1" applyBorder="1"/>
    <xf numFmtId="14" fontId="18" fillId="6" borderId="37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>
      <alignment vertical="center"/>
    </xf>
    <xf numFmtId="0" fontId="19" fillId="0" borderId="8" xfId="0" applyFont="1" applyFill="1" applyBorder="1"/>
    <xf numFmtId="0" fontId="19" fillId="0" borderId="0" xfId="0" applyFont="1" applyFill="1" applyBorder="1"/>
    <xf numFmtId="0" fontId="4" fillId="0" borderId="0" xfId="0" applyFont="1" applyFill="1" applyBorder="1" applyAlignment="1" applyProtection="1">
      <alignment vertical="center"/>
    </xf>
    <xf numFmtId="0" fontId="12" fillId="0" borderId="39" xfId="0" applyFont="1" applyFill="1" applyBorder="1" applyAlignment="1" applyProtection="1">
      <alignment vertical="center" shrinkToFit="1"/>
      <protection locked="0"/>
    </xf>
    <xf numFmtId="0" fontId="20" fillId="0" borderId="39" xfId="0" applyFont="1" applyFill="1" applyBorder="1" applyAlignment="1" applyProtection="1">
      <alignment vertical="center" shrinkToFit="1"/>
      <protection locked="0"/>
    </xf>
    <xf numFmtId="0" fontId="20" fillId="0" borderId="39" xfId="0" applyFont="1" applyFill="1" applyBorder="1" applyAlignment="1" applyProtection="1">
      <alignment horizontal="right" vertical="center" shrinkToFit="1"/>
      <protection locked="0"/>
    </xf>
    <xf numFmtId="0" fontId="21" fillId="0" borderId="0" xfId="0" applyFont="1" applyFill="1" applyBorder="1"/>
    <xf numFmtId="0" fontId="22" fillId="0" borderId="0" xfId="0" applyFont="1" applyFill="1" applyBorder="1"/>
    <xf numFmtId="0" fontId="8" fillId="0" borderId="0" xfId="0" applyNumberFormat="1" applyFont="1" applyFill="1" applyBorder="1"/>
    <xf numFmtId="0" fontId="2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3" fillId="0" borderId="5" xfId="0" applyFont="1" applyFill="1" applyBorder="1"/>
    <xf numFmtId="0" fontId="16" fillId="0" borderId="5" xfId="0" applyFont="1" applyBorder="1" applyAlignment="1">
      <alignment horizontal="center"/>
    </xf>
    <xf numFmtId="0" fontId="23" fillId="0" borderId="7" xfId="0" applyFont="1" applyFill="1" applyBorder="1"/>
    <xf numFmtId="0" fontId="23" fillId="0" borderId="10" xfId="0" applyFont="1" applyBorder="1"/>
    <xf numFmtId="0" fontId="23" fillId="0" borderId="36" xfId="0" applyFont="1" applyFill="1" applyBorder="1"/>
    <xf numFmtId="0" fontId="0" fillId="0" borderId="36" xfId="0" applyBorder="1" applyAlignment="1">
      <alignment horizontal="center"/>
    </xf>
    <xf numFmtId="0" fontId="0" fillId="0" borderId="36" xfId="0" applyFont="1" applyFill="1" applyBorder="1"/>
    <xf numFmtId="0" fontId="23" fillId="0" borderId="0" xfId="0" applyFont="1" applyFill="1" applyBorder="1"/>
    <xf numFmtId="0" fontId="23" fillId="0" borderId="0" xfId="0" applyFont="1" applyFill="1"/>
    <xf numFmtId="0" fontId="23" fillId="0" borderId="10" xfId="0" applyFont="1" applyFill="1" applyBorder="1"/>
    <xf numFmtId="0" fontId="24" fillId="0" borderId="0" xfId="0" applyFont="1" applyFill="1"/>
    <xf numFmtId="0" fontId="24" fillId="0" borderId="34" xfId="0" applyFont="1" applyBorder="1"/>
    <xf numFmtId="0" fontId="24" fillId="0" borderId="0" xfId="0" applyFont="1" applyFill="1" applyBorder="1"/>
    <xf numFmtId="0" fontId="0" fillId="0" borderId="34" xfId="0" applyFont="1" applyFill="1" applyBorder="1"/>
    <xf numFmtId="0" fontId="24" fillId="0" borderId="34" xfId="0" applyFont="1" applyFill="1" applyBorder="1"/>
    <xf numFmtId="0" fontId="4" fillId="7" borderId="0" xfId="0" applyFont="1" applyFill="1" applyBorder="1" applyAlignment="1">
      <alignment horizontal="right" vertical="center"/>
    </xf>
    <xf numFmtId="0" fontId="2" fillId="6" borderId="1" xfId="0" applyFont="1" applyFill="1" applyBorder="1" applyAlignment="1" applyProtection="1">
      <alignment horizontal="left" vertical="center" wrapText="1" shrinkToFit="1"/>
      <protection locked="0"/>
    </xf>
    <xf numFmtId="0" fontId="2" fillId="6" borderId="38" xfId="0" applyFont="1" applyFill="1" applyBorder="1" applyAlignment="1" applyProtection="1">
      <alignment horizontal="left" vertical="center" wrapText="1" shrinkToFit="1"/>
      <protection locked="0"/>
    </xf>
    <xf numFmtId="0" fontId="2" fillId="6" borderId="2" xfId="0" applyFont="1" applyFill="1" applyBorder="1" applyAlignment="1" applyProtection="1">
      <alignment horizontal="left" vertical="center" wrapText="1" shrinkToFit="1"/>
      <protection locked="0"/>
    </xf>
    <xf numFmtId="0" fontId="11" fillId="0" borderId="0" xfId="0" applyFont="1" applyBorder="1" applyAlignment="1">
      <alignment horizontal="center" vertical="center" wrapText="1"/>
    </xf>
    <xf numFmtId="0" fontId="6" fillId="0" borderId="17" xfId="0" applyFont="1" applyBorder="1" applyAlignment="1" applyProtection="1">
      <alignment horizontal="center" vertical="center"/>
    </xf>
    <xf numFmtId="0" fontId="6" fillId="0" borderId="18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  <protection locked="0"/>
    </xf>
    <xf numFmtId="0" fontId="2" fillId="6" borderId="2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2" fillId="6" borderId="30" xfId="0" applyFont="1" applyFill="1" applyBorder="1" applyAlignment="1" applyProtection="1">
      <alignment horizontal="center" vertical="center" wrapText="1"/>
      <protection locked="0"/>
    </xf>
    <xf numFmtId="0" fontId="2" fillId="6" borderId="3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6" borderId="24" xfId="0" applyFont="1" applyFill="1" applyBorder="1" applyAlignment="1" applyProtection="1">
      <alignment horizontal="center" vertical="center" wrapText="1"/>
      <protection locked="0"/>
    </xf>
    <xf numFmtId="0" fontId="2" fillId="6" borderId="29" xfId="0" applyFont="1" applyFill="1" applyBorder="1" applyAlignment="1" applyProtection="1">
      <alignment horizontal="center" vertical="center" wrapText="1"/>
      <protection locked="0"/>
    </xf>
    <xf numFmtId="0" fontId="2" fillId="6" borderId="25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2" fillId="6" borderId="27" xfId="0" applyFont="1" applyFill="1" applyBorder="1" applyAlignment="1" applyProtection="1">
      <alignment horizontal="center" vertical="center"/>
      <protection locked="0"/>
    </xf>
    <xf numFmtId="0" fontId="2" fillId="6" borderId="28" xfId="0" applyFont="1" applyFill="1" applyBorder="1" applyAlignment="1" applyProtection="1">
      <alignment horizontal="center" vertical="center"/>
      <protection locked="0"/>
    </xf>
    <xf numFmtId="49" fontId="2" fillId="6" borderId="32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33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16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 outline="0">
        <top style="thin">
          <color rgb="FFFFC000"/>
        </top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rgb="FFFFC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A6F0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top style="thin">
          <color rgb="FFFFC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 style="thin">
          <color theme="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FFC000"/>
        </top>
        <bottom/>
        <vertical/>
        <horizontal/>
      </border>
    </dxf>
    <dxf>
      <border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FFC000"/>
        </top>
        <bottom style="thin">
          <color rgb="FFFFC000"/>
        </bottom>
        <vertical/>
        <horizontal/>
      </border>
    </dxf>
    <dxf>
      <border>
        <top style="thin">
          <color rgb="FFFFC000"/>
        </top>
      </border>
    </dxf>
    <dxf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thin">
          <color rgb="FFFFC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border outline="0">
        <left style="thin">
          <color rgb="FFFFC000"/>
        </left>
        <bottom style="thin">
          <color rgb="FFFFC000"/>
        </bottom>
      </border>
    </dxf>
    <dxf>
      <font>
        <b/>
        <i/>
        <color rgb="FFFF0000"/>
      </font>
    </dxf>
  </dxfs>
  <tableStyles count="0" defaultTableStyle="TableStyleMedium2" defaultPivotStyle="PivotStyleLight16"/>
  <colors>
    <mruColors>
      <color rgb="FF00FF99"/>
      <color rgb="FF00FF00"/>
      <color rgb="FFFA6F06"/>
      <color rgb="FFFFFFE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13.emf"/><Relationship Id="rId18" Type="http://schemas.openxmlformats.org/officeDocument/2006/relationships/image" Target="../media/image26.emf"/><Relationship Id="rId3" Type="http://schemas.openxmlformats.org/officeDocument/2006/relationships/image" Target="../media/image23.emf"/><Relationship Id="rId21" Type="http://schemas.openxmlformats.org/officeDocument/2006/relationships/image" Target="../media/image6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" Type="http://schemas.openxmlformats.org/officeDocument/2006/relationships/image" Target="../media/image24.emf"/><Relationship Id="rId16" Type="http://schemas.openxmlformats.org/officeDocument/2006/relationships/image" Target="../media/image10.emf"/><Relationship Id="rId20" Type="http://schemas.openxmlformats.org/officeDocument/2006/relationships/image" Target="../media/image7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24" Type="http://schemas.openxmlformats.org/officeDocument/2006/relationships/image" Target="../media/image3.emf"/><Relationship Id="rId5" Type="http://schemas.openxmlformats.org/officeDocument/2006/relationships/image" Target="../media/image21.emf"/><Relationship Id="rId15" Type="http://schemas.openxmlformats.org/officeDocument/2006/relationships/image" Target="../media/image11.emf"/><Relationship Id="rId23" Type="http://schemas.openxmlformats.org/officeDocument/2006/relationships/image" Target="../media/image4.emf"/><Relationship Id="rId10" Type="http://schemas.openxmlformats.org/officeDocument/2006/relationships/image" Target="../media/image16.emf"/><Relationship Id="rId19" Type="http://schemas.openxmlformats.org/officeDocument/2006/relationships/image" Target="../media/image8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12.emf"/><Relationship Id="rId22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</xdr:row>
          <xdr:rowOff>30480</xdr:rowOff>
        </xdr:from>
        <xdr:to>
          <xdr:col>4</xdr:col>
          <xdr:colOff>0</xdr:colOff>
          <xdr:row>5</xdr:row>
          <xdr:rowOff>152400</xdr:rowOff>
        </xdr:to>
        <xdr:sp macro="" textlink="">
          <xdr:nvSpPr>
            <xdr:cNvPr id="2049" name="OpenDashBoard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12</xdr:row>
      <xdr:rowOff>57150</xdr:rowOff>
    </xdr:from>
    <xdr:to>
      <xdr:col>4</xdr:col>
      <xdr:colOff>1562100</xdr:colOff>
      <xdr:row>14</xdr:row>
      <xdr:rowOff>66675</xdr:rowOff>
    </xdr:to>
    <xdr:sp macro="" textlink="">
      <xdr:nvSpPr>
        <xdr:cNvPr id="1037" name="TextBox13" hidden="1">
          <a:extLst>
            <a:ext uri="{63B3BB69-23CF-44E3-9099-C40C66FF867C}">
              <a14:compatExt xmlns:a14="http://schemas.microsoft.com/office/drawing/2010/main" spid="_x0000_s1037"/>
            </a:ex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absolute">
    <xdr:from>
      <xdr:col>4</xdr:col>
      <xdr:colOff>1558059</xdr:colOff>
      <xdr:row>15</xdr:row>
      <xdr:rowOff>127289</xdr:rowOff>
    </xdr:from>
    <xdr:to>
      <xdr:col>5</xdr:col>
      <xdr:colOff>629515</xdr:colOff>
      <xdr:row>16</xdr:row>
      <xdr:rowOff>158112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339609" y="3861089"/>
          <a:ext cx="643081" cy="2784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*CPT4: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350520</xdr:colOff>
          <xdr:row>1</xdr:row>
          <xdr:rowOff>7620</xdr:rowOff>
        </xdr:from>
        <xdr:to>
          <xdr:col>4</xdr:col>
          <xdr:colOff>1607820</xdr:colOff>
          <xdr:row>1</xdr:row>
          <xdr:rowOff>297180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350520</xdr:colOff>
          <xdr:row>2</xdr:row>
          <xdr:rowOff>7620</xdr:rowOff>
        </xdr:from>
        <xdr:to>
          <xdr:col>4</xdr:col>
          <xdr:colOff>1607820</xdr:colOff>
          <xdr:row>2</xdr:row>
          <xdr:rowOff>297180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365760</xdr:colOff>
          <xdr:row>1</xdr:row>
          <xdr:rowOff>30480</xdr:rowOff>
        </xdr:from>
        <xdr:to>
          <xdr:col>5</xdr:col>
          <xdr:colOff>1706880</xdr:colOff>
          <xdr:row>1</xdr:row>
          <xdr:rowOff>320040</xdr:rowOff>
        </xdr:to>
        <xdr:sp macro="" textlink="">
          <xdr:nvSpPr>
            <xdr:cNvPr id="1027" name="TextBox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350520</xdr:colOff>
          <xdr:row>2</xdr:row>
          <xdr:rowOff>22860</xdr:rowOff>
        </xdr:from>
        <xdr:to>
          <xdr:col>5</xdr:col>
          <xdr:colOff>1699260</xdr:colOff>
          <xdr:row>2</xdr:row>
          <xdr:rowOff>312420</xdr:rowOff>
        </xdr:to>
        <xdr:sp macro="" textlink="">
          <xdr:nvSpPr>
            <xdr:cNvPr id="1028" name="TextBox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</xdr:colOff>
          <xdr:row>0</xdr:row>
          <xdr:rowOff>350520</xdr:rowOff>
        </xdr:from>
        <xdr:to>
          <xdr:col>3</xdr:col>
          <xdr:colOff>1508760</xdr:colOff>
          <xdr:row>1</xdr:row>
          <xdr:rowOff>297180</xdr:rowOff>
        </xdr:to>
        <xdr:sp macro="" textlink="">
          <xdr:nvSpPr>
            <xdr:cNvPr id="1029" name="TextBox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556260</xdr:colOff>
          <xdr:row>1</xdr:row>
          <xdr:rowOff>388620</xdr:rowOff>
        </xdr:from>
        <xdr:to>
          <xdr:col>3</xdr:col>
          <xdr:colOff>53340</xdr:colOff>
          <xdr:row>2</xdr:row>
          <xdr:rowOff>312420</xdr:rowOff>
        </xdr:to>
        <xdr:sp macro="" textlink="">
          <xdr:nvSpPr>
            <xdr:cNvPr id="1030" name="TextBox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502920</xdr:colOff>
          <xdr:row>3</xdr:row>
          <xdr:rowOff>0</xdr:rowOff>
        </xdr:from>
        <xdr:to>
          <xdr:col>3</xdr:col>
          <xdr:colOff>1607820</xdr:colOff>
          <xdr:row>3</xdr:row>
          <xdr:rowOff>297180</xdr:rowOff>
        </xdr:to>
        <xdr:sp macro="" textlink="">
          <xdr:nvSpPr>
            <xdr:cNvPr id="1031" name="TextBox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403860</xdr:colOff>
          <xdr:row>3</xdr:row>
          <xdr:rowOff>213360</xdr:rowOff>
        </xdr:from>
        <xdr:to>
          <xdr:col>5</xdr:col>
          <xdr:colOff>1798320</xdr:colOff>
          <xdr:row>4</xdr:row>
          <xdr:rowOff>106680</xdr:rowOff>
        </xdr:to>
        <xdr:sp macro="" textlink="">
          <xdr:nvSpPr>
            <xdr:cNvPr id="1032" name="TextBox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876300</xdr:colOff>
          <xdr:row>9</xdr:row>
          <xdr:rowOff>7620</xdr:rowOff>
        </xdr:from>
        <xdr:to>
          <xdr:col>5</xdr:col>
          <xdr:colOff>647700</xdr:colOff>
          <xdr:row>9</xdr:row>
          <xdr:rowOff>312420</xdr:rowOff>
        </xdr:to>
        <xdr:sp macro="" textlink="">
          <xdr:nvSpPr>
            <xdr:cNvPr id="1034" name="TextBox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1135380</xdr:colOff>
          <xdr:row>11</xdr:row>
          <xdr:rowOff>0</xdr:rowOff>
        </xdr:from>
        <xdr:to>
          <xdr:col>5</xdr:col>
          <xdr:colOff>1805940</xdr:colOff>
          <xdr:row>12</xdr:row>
          <xdr:rowOff>22860</xdr:rowOff>
        </xdr:to>
        <xdr:sp macro="" textlink="">
          <xdr:nvSpPr>
            <xdr:cNvPr id="1036" name="TextBox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556260</xdr:colOff>
          <xdr:row>12</xdr:row>
          <xdr:rowOff>76200</xdr:rowOff>
        </xdr:from>
        <xdr:to>
          <xdr:col>5</xdr:col>
          <xdr:colOff>1805940</xdr:colOff>
          <xdr:row>14</xdr:row>
          <xdr:rowOff>30480</xdr:rowOff>
        </xdr:to>
        <xdr:sp macro="" textlink="">
          <xdr:nvSpPr>
            <xdr:cNvPr id="1038" name="TextBox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601980</xdr:colOff>
          <xdr:row>18</xdr:row>
          <xdr:rowOff>0</xdr:rowOff>
        </xdr:from>
        <xdr:to>
          <xdr:col>6</xdr:col>
          <xdr:colOff>1694</xdr:colOff>
          <xdr:row>19</xdr:row>
          <xdr:rowOff>7620</xdr:rowOff>
        </xdr:to>
        <xdr:sp macro="" textlink="">
          <xdr:nvSpPr>
            <xdr:cNvPr id="1040" name="TextBox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</xdr:colOff>
          <xdr:row>34</xdr:row>
          <xdr:rowOff>7620</xdr:rowOff>
        </xdr:from>
        <xdr:to>
          <xdr:col>6</xdr:col>
          <xdr:colOff>1694</xdr:colOff>
          <xdr:row>37</xdr:row>
          <xdr:rowOff>15240</xdr:rowOff>
        </xdr:to>
        <xdr:sp macro="" textlink="">
          <xdr:nvSpPr>
            <xdr:cNvPr id="1041" name="TextBox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37</xdr:row>
          <xdr:rowOff>60960</xdr:rowOff>
        </xdr:from>
        <xdr:to>
          <xdr:col>5</xdr:col>
          <xdr:colOff>1798320</xdr:colOff>
          <xdr:row>39</xdr:row>
          <xdr:rowOff>7620</xdr:rowOff>
        </xdr:to>
        <xdr:sp macro="" textlink="">
          <xdr:nvSpPr>
            <xdr:cNvPr id="1042" name="TextBox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388620</xdr:colOff>
          <xdr:row>40</xdr:row>
          <xdr:rowOff>152400</xdr:rowOff>
        </xdr:from>
        <xdr:to>
          <xdr:col>2</xdr:col>
          <xdr:colOff>1607820</xdr:colOff>
          <xdr:row>41</xdr:row>
          <xdr:rowOff>289560</xdr:rowOff>
        </xdr:to>
        <xdr:sp macro="" textlink="">
          <xdr:nvSpPr>
            <xdr:cNvPr id="1043" name="TextBox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769620</xdr:colOff>
          <xdr:row>40</xdr:row>
          <xdr:rowOff>160020</xdr:rowOff>
        </xdr:from>
        <xdr:to>
          <xdr:col>4</xdr:col>
          <xdr:colOff>792480</xdr:colOff>
          <xdr:row>41</xdr:row>
          <xdr:rowOff>281940</xdr:rowOff>
        </xdr:to>
        <xdr:sp macro="" textlink="">
          <xdr:nvSpPr>
            <xdr:cNvPr id="1044" name="TextBox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43</xdr:row>
          <xdr:rowOff>152400</xdr:rowOff>
        </xdr:from>
        <xdr:to>
          <xdr:col>2</xdr:col>
          <xdr:colOff>38100</xdr:colOff>
          <xdr:row>46</xdr:row>
          <xdr:rowOff>144780</xdr:rowOff>
        </xdr:to>
        <xdr:sp macro="" textlink="">
          <xdr:nvSpPr>
            <xdr:cNvPr id="1062" name="CommandButton1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533400</xdr:colOff>
          <xdr:row>41</xdr:row>
          <xdr:rowOff>312420</xdr:rowOff>
        </xdr:from>
        <xdr:to>
          <xdr:col>5</xdr:col>
          <xdr:colOff>1798320</xdr:colOff>
          <xdr:row>43</xdr:row>
          <xdr:rowOff>30480</xdr:rowOff>
        </xdr:to>
        <xdr:sp macro="" textlink="">
          <xdr:nvSpPr>
            <xdr:cNvPr id="1064" name="TextBox15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678180</xdr:colOff>
          <xdr:row>43</xdr:row>
          <xdr:rowOff>68580</xdr:rowOff>
        </xdr:from>
        <xdr:to>
          <xdr:col>5</xdr:col>
          <xdr:colOff>1844040</xdr:colOff>
          <xdr:row>46</xdr:row>
          <xdr:rowOff>83820</xdr:rowOff>
        </xdr:to>
        <xdr:sp macro="" textlink="">
          <xdr:nvSpPr>
            <xdr:cNvPr id="1075" name="CommandButton2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441960</xdr:colOff>
          <xdr:row>43</xdr:row>
          <xdr:rowOff>68580</xdr:rowOff>
        </xdr:from>
        <xdr:to>
          <xdr:col>3</xdr:col>
          <xdr:colOff>1303020</xdr:colOff>
          <xdr:row>46</xdr:row>
          <xdr:rowOff>83820</xdr:rowOff>
        </xdr:to>
        <xdr:sp macro="" textlink="">
          <xdr:nvSpPr>
            <xdr:cNvPr id="1080" name="Label1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43</xdr:row>
          <xdr:rowOff>53340</xdr:rowOff>
        </xdr:from>
        <xdr:to>
          <xdr:col>5</xdr:col>
          <xdr:colOff>617220</xdr:colOff>
          <xdr:row>46</xdr:row>
          <xdr:rowOff>114300</xdr:rowOff>
        </xdr:to>
        <xdr:sp macro="" textlink="">
          <xdr:nvSpPr>
            <xdr:cNvPr id="1081" name="Label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2</xdr:row>
          <xdr:rowOff>0</xdr:rowOff>
        </xdr:from>
        <xdr:to>
          <xdr:col>3</xdr:col>
          <xdr:colOff>1562100</xdr:colOff>
          <xdr:row>2</xdr:row>
          <xdr:rowOff>327660</xdr:rowOff>
        </xdr:to>
        <xdr:sp macro="" textlink="">
          <xdr:nvSpPr>
            <xdr:cNvPr id="1083" name="TextBox21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861060</xdr:colOff>
          <xdr:row>17</xdr:row>
          <xdr:rowOff>38100</xdr:rowOff>
        </xdr:from>
        <xdr:to>
          <xdr:col>3</xdr:col>
          <xdr:colOff>403860</xdr:colOff>
          <xdr:row>17</xdr:row>
          <xdr:rowOff>274320</xdr:rowOff>
        </xdr:to>
        <xdr:sp macro="" textlink="">
          <xdr:nvSpPr>
            <xdr:cNvPr id="1089" name="TextBox9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17</xdr:row>
          <xdr:rowOff>38100</xdr:rowOff>
        </xdr:from>
        <xdr:to>
          <xdr:col>4</xdr:col>
          <xdr:colOff>1165860</xdr:colOff>
          <xdr:row>17</xdr:row>
          <xdr:rowOff>274320</xdr:rowOff>
        </xdr:to>
        <xdr:sp macro="" textlink="">
          <xdr:nvSpPr>
            <xdr:cNvPr id="1090" name="TextBox11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236220</xdr:colOff>
          <xdr:row>12</xdr:row>
          <xdr:rowOff>68580</xdr:rowOff>
        </xdr:from>
        <xdr:to>
          <xdr:col>4</xdr:col>
          <xdr:colOff>1607820</xdr:colOff>
          <xdr:row>14</xdr:row>
          <xdr:rowOff>53340</xdr:rowOff>
        </xdr:to>
        <xdr:sp macro="" textlink="">
          <xdr:nvSpPr>
            <xdr:cNvPr id="1092" name="TextBox13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enterpoint/OR/OR%20Committee%20Stats%20Fiscal%2017-18/June%202018%20Meeting/HH%20OR%20Data%20For%20June/TEST_ALERT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ert Form Original"/>
      <sheetName val="Financial Sheet Original"/>
      <sheetName val="Alert Form 2016"/>
      <sheetName val="Surgeon and Procedures"/>
      <sheetName val="Surgeon List"/>
      <sheetName val="Other Lists"/>
      <sheetName val="CPT4_COD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H1:I1044" totalsRowShown="0">
  <autoFilter ref="H1:I1044" xr:uid="{00000000-0009-0000-0100-000001000000}"/>
  <sortState xmlns:xlrd2="http://schemas.microsoft.com/office/spreadsheetml/2017/richdata2" ref="H2:I1044">
    <sortCondition ref="H1:H1044"/>
  </sortState>
  <tableColumns count="2">
    <tableColumn id="1" xr3:uid="{00000000-0010-0000-0000-000001000000}" name="SURGEON"/>
    <tableColumn id="3" xr3:uid="{00000000-0010-0000-0000-000003000000}" name="PROCED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A1:B404" totalsRowShown="0" tableBorderDxfId="159">
  <autoFilter ref="A1:B404" xr:uid="{00000000-0009-0000-0100-000004000000}"/>
  <sortState xmlns:xlrd2="http://schemas.microsoft.com/office/spreadsheetml/2017/richdata2" ref="A2:B405">
    <sortCondition ref="A1:A405"/>
  </sortState>
  <tableColumns count="2">
    <tableColumn id="1" xr3:uid="{00000000-0010-0000-0100-000001000000}" name="PROCEDURE" dataDxfId="158"/>
    <tableColumn id="2" xr3:uid="{00000000-0010-0000-0100-000002000000}" name="CPT4 Code" dataDxfId="15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Ahmadiyeh_Nasim" displayName="Ahmadiyeh_Nasim" ref="H1:H12" totalsRowShown="0" headerRowDxfId="156" dataDxfId="154" headerRowBorderDxfId="155" tableBorderDxfId="153" totalsRowBorderDxfId="152">
  <autoFilter ref="H1:H12" xr:uid="{00000000-0009-0000-0100-000008000000}"/>
  <sortState xmlns:xlrd2="http://schemas.microsoft.com/office/spreadsheetml/2017/richdata2" ref="H2:H11">
    <sortCondition ref="H3"/>
  </sortState>
  <tableColumns count="1">
    <tableColumn id="1" xr3:uid="{00000000-0010-0000-0200-000001000000}" name="Ahmadiyeh_Nasim" dataDxfId="151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Augustin_Stanley" displayName="Augustin_Stanley" ref="I1:I115" totalsRowShown="0" headerRowDxfId="150" dataDxfId="149">
  <autoFilter ref="I1:I115" xr:uid="{00000000-0009-0000-0100-000009000000}"/>
  <tableColumns count="1">
    <tableColumn id="1" xr3:uid="{00000000-0010-0000-0300-000001000000}" name="Augustin_Stanley" dataDxfId="148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Foster_James" displayName="Foster_James" ref="K1:K25" totalsRowShown="0" headerRowDxfId="147" dataDxfId="146">
  <autoFilter ref="K1:K25" xr:uid="{00000000-0009-0000-0100-00000B000000}"/>
  <tableColumns count="1">
    <tableColumn id="1" xr3:uid="{00000000-0010-0000-0400-000001000000}" name="Foster_James" dataDxfId="145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5000000}" name="Kremer_Howard" displayName="Kremer_Howard" ref="O1:O100" totalsRowShown="0" headerRowDxfId="144" dataDxfId="143">
  <autoFilter ref="O1:O100" xr:uid="{00000000-0009-0000-0100-00000D000000}"/>
  <tableColumns count="1">
    <tableColumn id="1" xr3:uid="{00000000-0010-0000-0500-000001000000}" name="Kremer_Howard" dataDxfId="142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Kujath_Scott" displayName="Kujath_Scott" ref="Q1:Q44" totalsRowShown="0" headerRowDxfId="141" dataDxfId="140">
  <autoFilter ref="Q1:Q44" xr:uid="{00000000-0009-0000-0100-00000E000000}"/>
  <tableColumns count="1">
    <tableColumn id="1" xr3:uid="{00000000-0010-0000-0600-000001000000}" name="Kujath_Scott" dataDxfId="139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Moncure_Michael" displayName="Moncure_Michael" ref="S1:S63" totalsRowShown="0" headerRowDxfId="138" dataDxfId="137">
  <autoFilter ref="S1:S63" xr:uid="{00000000-0009-0000-0100-00000F000000}"/>
  <sortState xmlns:xlrd2="http://schemas.microsoft.com/office/spreadsheetml/2017/richdata2" ref="S2:S64">
    <sortCondition ref="S1:S64"/>
  </sortState>
  <tableColumns count="1">
    <tableColumn id="1" xr3:uid="{00000000-0010-0000-0700-000001000000}" name="Moncure_Michael" dataDxfId="136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8000000}" name="Rawson_Lynn" displayName="Rawson_Lynn" ref="V1:V112" totalsRowShown="0" headerRowDxfId="135" dataDxfId="134">
  <autoFilter ref="V1:V112" xr:uid="{00000000-0009-0000-0100-000011000000}"/>
  <sortState xmlns:xlrd2="http://schemas.microsoft.com/office/spreadsheetml/2017/richdata2" ref="V2:V112">
    <sortCondition ref="V3"/>
  </sortState>
  <tableColumns count="1">
    <tableColumn id="1" xr3:uid="{00000000-0010-0000-0800-000001000000}" name="Rawson_Lynn" dataDxfId="133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9000000}" name="Neel_Dustin" displayName="Neel_Dustin" ref="T1:T74" totalsRowShown="0" headerRowDxfId="132" dataDxfId="131" tableBorderDxfId="130">
  <autoFilter ref="T1:T74" xr:uid="{00000000-0009-0000-0100-000013000000}"/>
  <tableColumns count="1">
    <tableColumn id="1" xr3:uid="{00000000-0010-0000-0900-000001000000}" name="Neel_Dustin" dataDxfId="129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A000000}" name="Shah_Anuj" displayName="Shah_Anuj" ref="W1:W96" totalsRowShown="0" headerRowDxfId="128" dataDxfId="127">
  <autoFilter ref="W1:W96" xr:uid="{00000000-0009-0000-0100-000014000000}"/>
  <sortState xmlns:xlrd2="http://schemas.microsoft.com/office/spreadsheetml/2017/richdata2" ref="W2:W94">
    <sortCondition ref="W1:W94"/>
  </sortState>
  <tableColumns count="1">
    <tableColumn id="1" xr3:uid="{00000000-0010-0000-0A00-000001000000}" name="Shah_Anuj" dataDxfId="126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B000000}" name="Stark_Karl" displayName="Stark_Karl" ref="X1:X45" totalsRowShown="0" headerRowDxfId="125" dataDxfId="124">
  <autoFilter ref="X1:X45" xr:uid="{00000000-0009-0000-0100-000015000000}"/>
  <tableColumns count="1">
    <tableColumn id="1" xr3:uid="{00000000-0010-0000-0B00-000001000000}" name="Stark_Karl" dataDxfId="123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C000000}" name="Stewart_James" displayName="Stewart_James" ref="Y1:Y36" totalsRowShown="0" headerRowDxfId="122" dataDxfId="121">
  <autoFilter ref="Y1:Y36" xr:uid="{00000000-0009-0000-0100-000016000000}"/>
  <tableColumns count="1">
    <tableColumn id="1" xr3:uid="{00000000-0010-0000-0C00-000001000000}" name="Stewart_James" dataDxfId="120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D000000}" name="Wagner_Austin" displayName="Wagner_Austin" ref="AB1:AB50" totalsRowShown="0" headerRowDxfId="119" dataDxfId="118">
  <autoFilter ref="AB1:AB50" xr:uid="{00000000-0009-0000-0100-000018000000}"/>
  <tableColumns count="1">
    <tableColumn id="1" xr3:uid="{00000000-0010-0000-0D00-000001000000}" name="Wagner_Austin" dataDxfId="117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E000000}" name="Wilson_Jonathan" displayName="Wilson_Jonathan" ref="AC1:AC37" totalsRowShown="0" headerRowDxfId="116" dataDxfId="115">
  <autoFilter ref="AC1:AC37" xr:uid="{00000000-0009-0000-0100-000019000000}"/>
  <tableColumns count="1">
    <tableColumn id="1" xr3:uid="{00000000-0010-0000-0E00-000001000000}" name="Wilson_Jonathan" dataDxfId="114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F000000}" name="Geehan_Douglas" displayName="Geehan_Douglas" ref="L1:L121" totalsRowShown="0" headerRowDxfId="113" tableBorderDxfId="112">
  <autoFilter ref="L1:L121" xr:uid="{00000000-0009-0000-0100-000002000000}"/>
  <tableColumns count="1">
    <tableColumn id="1" xr3:uid="{00000000-0010-0000-0F00-000001000000}" name="Geehan_Douglas" dataDxfId="111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0000000}" name="Gianino_John" displayName="Gianino_John" ref="M1:M47" totalsRowShown="0" headerRowDxfId="110" dataDxfId="109" tableBorderDxfId="108">
  <autoFilter ref="M1:M47" xr:uid="{00000000-0009-0000-0100-000003000000}"/>
  <tableColumns count="1">
    <tableColumn id="1" xr3:uid="{00000000-0010-0000-1000-000001000000}" name="Gianino_John" dataDxfId="107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1000000}" name="SurgeonsList" displayName="SurgeonsList" ref="A1:A19" totalsRowShown="0" headerRowDxfId="106" dataDxfId="105" tableBorderDxfId="104">
  <autoFilter ref="A1:A19" xr:uid="{00000000-0009-0000-0100-000007000000}"/>
  <tableColumns count="1">
    <tableColumn id="1" xr3:uid="{00000000-0010-0000-1100-000001000000}" name="SURGEON" dataDxfId="103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2000000}" name="Talboy_Glenn" displayName="Talboy_Glenn" ref="Z1:Z108" totalsRowShown="0" headerRowDxfId="102" dataDxfId="101">
  <autoFilter ref="Z1:Z108" xr:uid="{00000000-0009-0000-0100-000017000000}"/>
  <tableColumns count="1">
    <tableColumn id="1" xr3:uid="{00000000-0010-0000-1200-000001000000}" name="Talboy_Glenn" dataDxfId="100"/>
  </tableColumns>
  <tableStyleInfo name="TableStyleLight1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3000000}" name="Theoharidis_Akilis" displayName="Theoharidis_Akilis" ref="AA1:AA15" totalsRowShown="0" headerRowDxfId="99" dataDxfId="98">
  <autoFilter ref="AA1:AA15" xr:uid="{00000000-0009-0000-0100-000005000000}"/>
  <tableColumns count="1">
    <tableColumn id="1" xr3:uid="{00000000-0010-0000-1300-000001000000}" name="Theoharidis_Akilis" dataDxfId="97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4000000}" name="Carter_Robert" displayName="Carter_Robert" ref="J1:J57" totalsRowShown="0" headerRowDxfId="96" dataDxfId="95">
  <autoFilter ref="J1:J57" xr:uid="{00000000-0009-0000-0100-00000A000000}"/>
  <tableColumns count="1">
    <tableColumn id="1" xr3:uid="{00000000-0010-0000-1400-000001000000}" name="Carter_Robert" dataDxfId="94"/>
  </tableColumns>
  <tableStyleInfo name="TableStyleLight1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5000000}" name="Molina_Wilson" displayName="Molina_Wilson" ref="R1:R14" totalsRowShown="0" headerRowDxfId="93" dataDxfId="92" tableBorderDxfId="91">
  <autoFilter ref="R1:R14" xr:uid="{00000000-0009-0000-0100-000006000000}"/>
  <tableColumns count="1">
    <tableColumn id="1" xr3:uid="{00000000-0010-0000-1500-000001000000}" name="Molina_Wilson" dataDxfId="90"/>
  </tableColumns>
  <tableStyleInfo name="TableStyleLight1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6000000}" name="Neff_Donald" displayName="Neff_Donald" ref="U1:U41" totalsRowShown="0" headerRowDxfId="89" dataDxfId="88">
  <autoFilter ref="U1:U41" xr:uid="{00000000-0009-0000-0100-00000C000000}"/>
  <sortState xmlns:xlrd2="http://schemas.microsoft.com/office/spreadsheetml/2017/richdata2" ref="U2:U31">
    <sortCondition ref="U3"/>
  </sortState>
  <tableColumns count="1">
    <tableColumn id="1" xr3:uid="{00000000-0010-0000-1600-000001000000}" name="Neff_Donald" dataDxfId="87"/>
  </tableColumns>
  <tableStyleInfo name="TableStyleLight1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7000000}" name="Wyre_Hadley" displayName="Wyre_Hadley" ref="AD1:AD53" totalsRowShown="0" headerRowDxfId="86" dataDxfId="85" tableBorderDxfId="84">
  <autoFilter ref="AD1:AD53" xr:uid="{00000000-0009-0000-0100-000010000000}"/>
  <tableColumns count="1">
    <tableColumn id="1" xr3:uid="{00000000-0010-0000-1700-000001000000}" name="Wyre_Hadley" dataDxfId="83"/>
  </tableColumns>
  <tableStyleInfo name="TableStyleLight14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8000000}" name="Johnston_Benjamin" displayName="Johnston_Benjamin" ref="N1:N36" totalsRowShown="0" headerRowDxfId="82" dataDxfId="81">
  <autoFilter ref="N1:N36" xr:uid="{00000000-0009-0000-0100-000012000000}"/>
  <tableColumns count="1">
    <tableColumn id="1" xr3:uid="{00000000-0010-0000-1800-000001000000}" name="Johnston_Benjamin" dataDxfId="80"/>
  </tableColumns>
  <tableStyleInfo name="TableStyleLight14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9000000}" name="Kowalik_Casey" displayName="Kowalik_Casey" ref="P1:P22" totalsRowShown="0" headerRowDxfId="79" dataDxfId="78">
  <autoFilter ref="P1:P22" xr:uid="{00000000-0009-0000-0100-000027000000}"/>
  <tableColumns count="1">
    <tableColumn id="1" xr3:uid="{00000000-0010-0000-1900-000001000000}" name="Kowalik_Casey" dataDxfId="77"/>
  </tableColumns>
  <tableStyleInfo name="TableStyleLight1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A000000}" name="Table26" displayName="Table26" ref="A1:A12" totalsRowShown="0" headerRowDxfId="76" dataDxfId="74" headerRowBorderDxfId="75" tableBorderDxfId="73" totalsRowBorderDxfId="72">
  <autoFilter ref="A1:A12" xr:uid="{00000000-0009-0000-0100-00001A000000}"/>
  <sortState xmlns:xlrd2="http://schemas.microsoft.com/office/spreadsheetml/2017/richdata2" ref="A2:A12">
    <sortCondition ref="A2"/>
  </sortState>
  <tableColumns count="1">
    <tableColumn id="1" xr3:uid="{00000000-0010-0000-1A00-000001000000}" name="Anesthesia Type:" dataDxfId="7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B000000}" name="Table27" displayName="Table27" ref="G1:G33" totalsRowShown="0" headerRowDxfId="70" dataDxfId="68" headerRowBorderDxfId="69" tableBorderDxfId="67" totalsRowBorderDxfId="66">
  <autoFilter ref="G1:G33" xr:uid="{00000000-0009-0000-0100-00001B000000}"/>
  <tableColumns count="1">
    <tableColumn id="1" xr3:uid="{00000000-0010-0000-1B00-000001000000}" name="Time" dataDxfId="65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C000000}" name="Table28" displayName="Table28" ref="E1:E4" totalsRowShown="0" headerRowDxfId="64" dataDxfId="62" headerRowBorderDxfId="63" tableBorderDxfId="61" totalsRowBorderDxfId="60">
  <autoFilter ref="E1:E4" xr:uid="{00000000-0009-0000-0100-00001C000000}"/>
  <tableColumns count="1">
    <tableColumn id="1" xr3:uid="{00000000-0010-0000-1C00-000001000000}" name="Languages" dataDxfId="59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D000000}" name="Table29" displayName="Table29" ref="M1:M5" totalsRowShown="0" headerRowDxfId="58" dataDxfId="56" headerRowBorderDxfId="57" tableBorderDxfId="55" totalsRowBorderDxfId="54">
  <autoFilter ref="M1:M5" xr:uid="{00000000-0009-0000-0100-00001D000000}"/>
  <tableColumns count="1">
    <tableColumn id="1" xr3:uid="{00000000-0010-0000-1D00-000001000000}" name="Encounter Type" dataDxfId="5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E000000}" name="Table31" displayName="Table31" ref="O1:O11" totalsRowShown="0" headerRowDxfId="52" dataDxfId="51" tableBorderDxfId="50">
  <autoFilter ref="O1:O11" xr:uid="{00000000-0009-0000-0100-00001E000000}"/>
  <tableColumns count="1">
    <tableColumn id="1" xr3:uid="{00000000-0010-0000-1E00-000001000000}" name="AM_Admit" dataDxfId="49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Table32" displayName="Table32" ref="Q1:Q6" totalsRowShown="0" headerRowDxfId="48" dataDxfId="46" headerRowBorderDxfId="47" tableBorderDxfId="45" totalsRowBorderDxfId="44">
  <autoFilter ref="Q1:Q6" xr:uid="{00000000-0009-0000-0100-00001F000000}"/>
  <tableColumns count="1">
    <tableColumn id="1" xr3:uid="{00000000-0010-0000-1F00-000001000000}" name="Patient Position:" dataDxfId="43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0000000}" name="Table33" displayName="Table33" ref="S1:S5" totalsRowShown="0" headerRowDxfId="42" headerRowBorderDxfId="41" tableBorderDxfId="40" totalsRowBorderDxfId="39">
  <autoFilter ref="S1:S5" xr:uid="{00000000-0009-0000-0100-000020000000}"/>
  <tableColumns count="1">
    <tableColumn id="1" xr3:uid="{00000000-0010-0000-2000-000001000000}" name="Radiology: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1000000}" name="Table34" displayName="Table34" ref="U1:U10" totalsRowShown="0" headerRowDxfId="38" dataDxfId="36" headerRowBorderDxfId="37" tableBorderDxfId="35" totalsRowBorderDxfId="34">
  <autoFilter ref="U1:U10" xr:uid="{00000000-0009-0000-0100-000021000000}"/>
  <tableColumns count="1">
    <tableColumn id="1" xr3:uid="{00000000-0010-0000-2100-000001000000}" name="Positioning/Beds" dataDxfId="33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2000000}" name="Table35" displayName="Table35" ref="W1:W11" totalsRowShown="0" headerRowDxfId="32" dataDxfId="30" headerRowBorderDxfId="31" tableBorderDxfId="29" totalsRowBorderDxfId="28">
  <autoFilter ref="W1:W11" xr:uid="{00000000-0009-0000-0100-000022000000}"/>
  <tableColumns count="1">
    <tableColumn id="1" xr3:uid="{00000000-0010-0000-2200-000001000000}" name="Other Equipment:" dataDxfId="2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3000000}" name="Table36" displayName="Table36" ref="Y1:Y19" totalsRowShown="0" headerRowDxfId="26" dataDxfId="24" headerRowBorderDxfId="25" tableBorderDxfId="23" totalsRowBorderDxfId="22">
  <autoFilter ref="Y1:Y19" xr:uid="{00000000-0009-0000-0100-000023000000}"/>
  <tableColumns count="1">
    <tableColumn id="1" xr3:uid="{00000000-0010-0000-2300-000001000000}" name="Vendors:" dataDxfId="2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4000000}" name="Table37" displayName="Table37" ref="AA1:AA4" totalsRowShown="0" headerRowDxfId="20" dataDxfId="18" headerRowBorderDxfId="19" tableBorderDxfId="17" totalsRowBorderDxfId="16">
  <autoFilter ref="AA1:AA4" xr:uid="{00000000-0009-0000-0100-000024000000}"/>
  <tableColumns count="1">
    <tableColumn id="1" xr3:uid="{00000000-0010-0000-2400-000001000000}" name="Surgical Site Modifier:" dataDxfId="15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5000000}" name="Table38" displayName="Table38" ref="AC1:AC6" totalsRowShown="0" headerRowDxfId="14" dataDxfId="12" headerRowBorderDxfId="13" tableBorderDxfId="11" totalsRowBorderDxfId="10">
  <autoFilter ref="AC1:AC6" xr:uid="{00000000-0009-0000-0100-000025000000}"/>
  <tableColumns count="1">
    <tableColumn id="1" xr3:uid="{00000000-0010-0000-2500-000001000000}" name="Equipment Requiring Rep:" dataDxfId="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6000000}" name="Table39" displayName="Table39" ref="AE1:AE9" totalsRowShown="0" headerRowDxfId="8" dataDxfId="6" headerRowBorderDxfId="7" tableBorderDxfId="5" totalsRowBorderDxfId="4">
  <autoFilter ref="AE1:AE9" xr:uid="{00000000-0009-0000-0100-000026000000}"/>
  <tableColumns count="1">
    <tableColumn id="1" xr3:uid="{00000000-0010-0000-2600-000001000000}" name="Supplies:" dataDxfId="3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40" displayName="Table40" ref="AG1:AG124" totalsRowShown="0" headerRowDxfId="2" dataDxfId="1">
  <autoFilter ref="AG1:AG124" xr:uid="{00000000-0009-0000-0100-000028000000}"/>
  <tableColumns count="1">
    <tableColumn id="1" xr3:uid="{00000000-0010-0000-2700-000001000000}" name="Date_Picker:" dataDxfId="0">
      <calculatedColumnFormula>AG1+1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image" Target="../media/image20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1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1.xml"/><Relationship Id="rId47" Type="http://schemas.openxmlformats.org/officeDocument/2006/relationships/image" Target="../media/image24.emf"/><Relationship Id="rId50" Type="http://schemas.openxmlformats.org/officeDocument/2006/relationships/control" Target="../activeX/activeX25.xml"/><Relationship Id="rId7" Type="http://schemas.openxmlformats.org/officeDocument/2006/relationships/image" Target="../media/image4.emf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image" Target="../media/image17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5.emf"/><Relationship Id="rId41" Type="http://schemas.openxmlformats.org/officeDocument/2006/relationships/image" Target="../media/image21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image" Target="../media/image19.emf"/><Relationship Id="rId40" Type="http://schemas.openxmlformats.org/officeDocument/2006/relationships/control" Target="../activeX/activeX20.xml"/><Relationship Id="rId45" Type="http://schemas.openxmlformats.org/officeDocument/2006/relationships/image" Target="../media/image23.emf"/><Relationship Id="rId53" Type="http://schemas.openxmlformats.org/officeDocument/2006/relationships/comments" Target="../comments1.xml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image" Target="../media/image25.emf"/><Relationship Id="rId10" Type="http://schemas.openxmlformats.org/officeDocument/2006/relationships/control" Target="../activeX/activeX5.xml"/><Relationship Id="rId19" Type="http://schemas.openxmlformats.org/officeDocument/2006/relationships/image" Target="../media/image10.emf"/><Relationship Id="rId31" Type="http://schemas.openxmlformats.org/officeDocument/2006/relationships/image" Target="../media/image16.emf"/><Relationship Id="rId44" Type="http://schemas.openxmlformats.org/officeDocument/2006/relationships/control" Target="../activeX/activeX22.xml"/><Relationship Id="rId52" Type="http://schemas.openxmlformats.org/officeDocument/2006/relationships/image" Target="../media/image26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4.emf"/><Relationship Id="rId30" Type="http://schemas.openxmlformats.org/officeDocument/2006/relationships/control" Target="../activeX/activeX15.xml"/><Relationship Id="rId35" Type="http://schemas.openxmlformats.org/officeDocument/2006/relationships/image" Target="../media/image18.emf"/><Relationship Id="rId43" Type="http://schemas.openxmlformats.org/officeDocument/2006/relationships/image" Target="../media/image22.emf"/><Relationship Id="rId48" Type="http://schemas.openxmlformats.org/officeDocument/2006/relationships/control" Target="../activeX/activeX24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21" Type="http://schemas.openxmlformats.org/officeDocument/2006/relationships/table" Target="../tables/table22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0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13" Type="http://schemas.openxmlformats.org/officeDocument/2006/relationships/table" Target="../tables/table39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12" Type="http://schemas.openxmlformats.org/officeDocument/2006/relationships/table" Target="../tables/table38.xml"/><Relationship Id="rId2" Type="http://schemas.openxmlformats.org/officeDocument/2006/relationships/table" Target="../tables/table28.xml"/><Relationship Id="rId1" Type="http://schemas.openxmlformats.org/officeDocument/2006/relationships/table" Target="../tables/table27.xml"/><Relationship Id="rId6" Type="http://schemas.openxmlformats.org/officeDocument/2006/relationships/table" Target="../tables/table32.xml"/><Relationship Id="rId11" Type="http://schemas.openxmlformats.org/officeDocument/2006/relationships/table" Target="../tables/table37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table" Target="../tables/table30.xml"/><Relationship Id="rId9" Type="http://schemas.openxmlformats.org/officeDocument/2006/relationships/table" Target="../tables/table35.xml"/><Relationship Id="rId14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showRowColHeaders="0" topLeftCell="A2" workbookViewId="0">
      <selection activeCell="D7" sqref="D7"/>
    </sheetView>
  </sheetViews>
  <sheetFormatPr defaultColWidth="9.109375" defaultRowHeight="14.4"/>
  <cols>
    <col min="1" max="16384" width="9.109375" style="56"/>
  </cols>
  <sheetData/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49" r:id="rId5" name="OpenDashBoardButton">
          <controlPr defaultSize="0" autoLine="0" r:id="rId6">
            <anchor moveWithCells="1">
              <from>
                <xdr:col>0</xdr:col>
                <xdr:colOff>251460</xdr:colOff>
                <xdr:row>1</xdr:row>
                <xdr:rowOff>30480</xdr:rowOff>
              </from>
              <to>
                <xdr:col>4</xdr:col>
                <xdr:colOff>0</xdr:colOff>
                <xdr:row>5</xdr:row>
                <xdr:rowOff>152400</xdr:rowOff>
              </to>
            </anchor>
          </controlPr>
        </control>
      </mc:Choice>
      <mc:Fallback>
        <control shapeId="2049" r:id="rId5" name="OpenDashBoar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F43"/>
  <sheetViews>
    <sheetView showGridLines="0" showRowColHeaders="0" tabSelected="1" showRuler="0" view="pageLayout" topLeftCell="A25" zoomScaleNormal="90" workbookViewId="0">
      <selection activeCell="E4" sqref="E4:F5"/>
    </sheetView>
  </sheetViews>
  <sheetFormatPr defaultRowHeight="14.4"/>
  <cols>
    <col min="2" max="2" width="9.33203125" customWidth="1"/>
    <col min="3" max="5" width="23.44140625" customWidth="1"/>
    <col min="6" max="6" width="27.5546875" customWidth="1"/>
    <col min="7" max="7" width="2.6640625" customWidth="1"/>
  </cols>
  <sheetData>
    <row r="1" spans="1:6" ht="31.5" customHeight="1">
      <c r="E1" s="1" t="s">
        <v>0</v>
      </c>
      <c r="F1" s="1" t="s">
        <v>1</v>
      </c>
    </row>
    <row r="2" spans="1:6" ht="32.25" customHeight="1">
      <c r="A2" s="165" t="s">
        <v>4</v>
      </c>
      <c r="B2" s="165"/>
      <c r="C2" s="165"/>
      <c r="D2" s="165"/>
      <c r="E2" s="2" t="s">
        <v>2</v>
      </c>
      <c r="F2" s="2" t="s">
        <v>2</v>
      </c>
    </row>
    <row r="3" spans="1:6" ht="30.75" customHeight="1">
      <c r="A3" s="1" t="s">
        <v>518</v>
      </c>
      <c r="B3" s="1"/>
      <c r="C3" s="1"/>
      <c r="D3" s="98" t="s">
        <v>519</v>
      </c>
      <c r="E3" s="2" t="s">
        <v>3</v>
      </c>
      <c r="F3" s="2" t="s">
        <v>3</v>
      </c>
    </row>
    <row r="4" spans="1:6" s="3" customFormat="1" ht="28.5" customHeight="1">
      <c r="A4" s="96" t="s">
        <v>5</v>
      </c>
      <c r="B4" s="96"/>
      <c r="C4" s="96"/>
      <c r="D4" s="96"/>
      <c r="E4" s="166" t="s">
        <v>6</v>
      </c>
      <c r="F4" s="166"/>
    </row>
    <row r="5" spans="1:6" s="3" customFormat="1" ht="25.5" customHeight="1">
      <c r="A5" s="1"/>
      <c r="B5" s="1"/>
      <c r="C5" s="1"/>
      <c r="D5" s="1"/>
      <c r="E5" s="166"/>
      <c r="F5" s="166"/>
    </row>
    <row r="6" spans="1:6" s="3" customFormat="1" ht="15.6" hidden="1">
      <c r="A6" s="172" t="s">
        <v>517</v>
      </c>
      <c r="B6" s="172"/>
      <c r="C6" s="172"/>
      <c r="D6" s="90"/>
      <c r="E6" s="69" t="s">
        <v>7</v>
      </c>
      <c r="F6" s="91"/>
    </row>
    <row r="7" spans="1:6" s="3" customFormat="1" ht="5.25" customHeight="1">
      <c r="A7" s="5"/>
      <c r="B7" s="5"/>
      <c r="C7" s="5"/>
      <c r="D7" s="82"/>
      <c r="E7" s="88"/>
      <c r="F7" s="89"/>
    </row>
    <row r="8" spans="1:6" ht="27" customHeight="1">
      <c r="A8" s="173" t="s">
        <v>8</v>
      </c>
      <c r="B8" s="173"/>
      <c r="C8" s="173"/>
      <c r="D8" s="162" t="str">
        <f>'Other Lists'!I2</f>
        <v>HH Main OR - RightFax: 49476 (Phone: 41653)</v>
      </c>
      <c r="E8" s="163"/>
      <c r="F8" s="164"/>
    </row>
    <row r="9" spans="1:6" ht="6" customHeight="1" thickBot="1">
      <c r="A9" s="6"/>
      <c r="B9" s="6"/>
      <c r="C9" s="6"/>
      <c r="D9" s="7"/>
      <c r="E9" s="7"/>
      <c r="F9" s="7"/>
    </row>
    <row r="10" spans="1:6" s="3" customFormat="1" ht="28.5" customHeight="1" thickBot="1">
      <c r="A10" s="167" t="s">
        <v>9</v>
      </c>
      <c r="B10" s="167"/>
      <c r="C10" s="126"/>
      <c r="D10" s="167" t="s">
        <v>588</v>
      </c>
      <c r="E10" s="167"/>
      <c r="F10" s="127"/>
    </row>
    <row r="11" spans="1:6" s="3" customFormat="1" ht="6" customHeight="1" thickBot="1">
      <c r="A11" s="4"/>
      <c r="B11" s="4"/>
      <c r="C11" s="8"/>
      <c r="D11" s="4"/>
      <c r="E11" s="9"/>
    </row>
    <row r="12" spans="1:6" ht="23.25" customHeight="1" thickBot="1">
      <c r="A12" s="168" t="s">
        <v>10</v>
      </c>
      <c r="B12" s="169"/>
      <c r="C12" s="170"/>
      <c r="D12" s="171"/>
      <c r="E12" s="97" t="s">
        <v>11</v>
      </c>
      <c r="F12" s="8"/>
    </row>
    <row r="13" spans="1:6" ht="7.5" customHeight="1">
      <c r="A13" s="84"/>
      <c r="B13" s="84"/>
      <c r="C13" s="84"/>
      <c r="D13" s="84"/>
      <c r="E13" s="85"/>
      <c r="F13" s="86"/>
    </row>
    <row r="14" spans="1:6" ht="33" customHeight="1">
      <c r="A14" s="174" t="s">
        <v>12</v>
      </c>
      <c r="B14" s="174"/>
      <c r="C14" s="174"/>
      <c r="D14" s="174"/>
      <c r="E14" s="174"/>
      <c r="F14" s="87" t="s">
        <v>13</v>
      </c>
    </row>
    <row r="15" spans="1:6" ht="9" customHeight="1" thickBot="1">
      <c r="A15" s="11"/>
      <c r="B15" s="11"/>
      <c r="C15" s="11"/>
      <c r="D15" s="11"/>
      <c r="E15" s="70"/>
      <c r="F15" s="11"/>
    </row>
    <row r="16" spans="1:6" ht="19.5" customHeight="1" thickBot="1">
      <c r="A16" s="175" t="s">
        <v>602</v>
      </c>
      <c r="B16" s="176"/>
      <c r="C16" s="158"/>
      <c r="D16" s="159"/>
      <c r="E16" s="160"/>
      <c r="F16" s="157" t="str">
        <f>'Surgeon and Procedures'!E5</f>
        <v/>
      </c>
    </row>
    <row r="17" spans="1:6" s="13" customFormat="1" ht="17.25" customHeight="1" thickBot="1">
      <c r="A17" s="184" t="s">
        <v>603</v>
      </c>
      <c r="B17" s="176"/>
      <c r="C17" s="158"/>
      <c r="D17" s="159"/>
      <c r="E17" s="160"/>
      <c r="F17" s="157"/>
    </row>
    <row r="18" spans="1:6" s="13" customFormat="1" ht="24" customHeight="1">
      <c r="A18" s="161" t="s">
        <v>604</v>
      </c>
      <c r="B18" s="161"/>
      <c r="C18" s="132" t="s">
        <v>605</v>
      </c>
      <c r="D18" s="133" t="s">
        <v>606</v>
      </c>
      <c r="E18" s="131"/>
      <c r="F18" s="130"/>
    </row>
    <row r="19" spans="1:6" ht="38.25" customHeight="1">
      <c r="A19" s="196" t="s">
        <v>487</v>
      </c>
      <c r="B19" s="196"/>
      <c r="C19" s="177"/>
      <c r="D19" s="177"/>
      <c r="E19" s="177"/>
      <c r="F19" s="83"/>
    </row>
    <row r="20" spans="1:6" s="80" customFormat="1" ht="10.5" customHeight="1" thickBot="1">
      <c r="A20" s="81"/>
      <c r="B20" s="81"/>
      <c r="C20" s="82"/>
      <c r="D20" s="82"/>
      <c r="E20" s="82"/>
      <c r="F20" s="83"/>
    </row>
    <row r="21" spans="1:6" ht="25.5" customHeight="1" thickBot="1">
      <c r="A21" s="179" t="s">
        <v>15</v>
      </c>
      <c r="B21" s="179"/>
      <c r="C21" s="179"/>
      <c r="D21" s="92"/>
      <c r="E21" s="14" t="s">
        <v>16</v>
      </c>
      <c r="F21" s="94"/>
    </row>
    <row r="22" spans="1:6" s="80" customFormat="1" ht="6" customHeight="1" thickBot="1">
      <c r="A22" s="78"/>
      <c r="B22" s="78"/>
      <c r="C22" s="78"/>
      <c r="D22" s="84"/>
      <c r="E22" s="79"/>
      <c r="F22" s="82"/>
    </row>
    <row r="23" spans="1:6" ht="21.75" customHeight="1">
      <c r="A23" s="168" t="s">
        <v>17</v>
      </c>
      <c r="B23" s="168"/>
      <c r="C23" s="194" t="s">
        <v>601</v>
      </c>
      <c r="D23" s="180"/>
      <c r="E23" s="190" t="s">
        <v>18</v>
      </c>
      <c r="F23" s="192"/>
    </row>
    <row r="24" spans="1:6" ht="20.25" customHeight="1" thickBot="1">
      <c r="A24" s="168"/>
      <c r="B24" s="168"/>
      <c r="C24" s="195"/>
      <c r="D24" s="181"/>
      <c r="E24" s="191"/>
      <c r="F24" s="193"/>
    </row>
    <row r="25" spans="1:6" ht="6" customHeight="1" thickBot="1">
      <c r="A25" s="2"/>
      <c r="B25" s="2"/>
      <c r="C25" s="93"/>
      <c r="D25" s="93"/>
      <c r="E25" s="2"/>
      <c r="F25" s="2"/>
    </row>
    <row r="26" spans="1:6" ht="32.25" customHeight="1" thickBot="1">
      <c r="A26" s="178" t="s">
        <v>19</v>
      </c>
      <c r="B26" s="178"/>
      <c r="C26" s="186"/>
      <c r="D26" s="188"/>
      <c r="E26" s="14" t="s">
        <v>488</v>
      </c>
      <c r="F26" s="92"/>
    </row>
    <row r="27" spans="1:6" ht="6" customHeight="1" thickBot="1">
      <c r="A27" s="8"/>
      <c r="B27" s="8"/>
      <c r="C27" s="8"/>
      <c r="D27" s="8"/>
      <c r="E27" s="8"/>
      <c r="F27" s="15"/>
    </row>
    <row r="28" spans="1:6" ht="25.95" customHeight="1" thickBot="1">
      <c r="A28" s="185" t="s">
        <v>516</v>
      </c>
      <c r="B28" s="185"/>
      <c r="C28" s="9" t="s">
        <v>20</v>
      </c>
      <c r="D28" s="95"/>
      <c r="E28" s="9" t="s">
        <v>21</v>
      </c>
      <c r="F28" s="92"/>
    </row>
    <row r="29" spans="1:6" ht="6" customHeight="1" thickBot="1">
      <c r="A29" s="185"/>
      <c r="B29" s="185"/>
      <c r="C29" s="9"/>
      <c r="D29" s="10"/>
      <c r="E29" s="9"/>
      <c r="F29" s="10"/>
    </row>
    <row r="30" spans="1:6" ht="28.95" customHeight="1" thickBot="1">
      <c r="A30" s="185"/>
      <c r="B30" s="185"/>
      <c r="C30" s="71" t="s">
        <v>22</v>
      </c>
      <c r="D30" s="95"/>
      <c r="E30" s="71" t="s">
        <v>23</v>
      </c>
      <c r="F30" s="95"/>
    </row>
    <row r="31" spans="1:6" ht="6" customHeight="1" thickBot="1">
      <c r="A31" s="4"/>
      <c r="B31" s="4"/>
      <c r="C31" s="16"/>
      <c r="D31" s="17"/>
      <c r="E31" s="16"/>
      <c r="F31" s="17"/>
    </row>
    <row r="32" spans="1:6" ht="28.5" customHeight="1" thickBot="1">
      <c r="A32" s="185" t="s">
        <v>24</v>
      </c>
      <c r="B32" s="185"/>
      <c r="C32" s="185"/>
      <c r="D32" s="186"/>
      <c r="E32" s="187"/>
      <c r="F32" s="188"/>
    </row>
    <row r="33" spans="1:6" ht="6" customHeight="1" thickBot="1">
      <c r="A33" s="69"/>
      <c r="B33" s="69"/>
      <c r="C33" s="69"/>
      <c r="D33" s="17"/>
      <c r="E33" s="17"/>
      <c r="F33" s="17"/>
    </row>
    <row r="34" spans="1:6" ht="28.5" customHeight="1" thickBot="1">
      <c r="A34" s="189" t="s">
        <v>25</v>
      </c>
      <c r="B34" s="189"/>
      <c r="C34" s="189"/>
      <c r="D34" s="186"/>
      <c r="E34" s="187"/>
      <c r="F34" s="188"/>
    </row>
    <row r="35" spans="1:6" ht="6" customHeight="1">
      <c r="A35" s="18"/>
      <c r="B35" s="18"/>
      <c r="C35" s="18"/>
      <c r="D35" s="12"/>
      <c r="E35" s="12"/>
      <c r="F35" s="12"/>
    </row>
    <row r="36" spans="1:6" ht="20.25" customHeight="1">
      <c r="A36" s="172" t="s">
        <v>26</v>
      </c>
      <c r="B36" s="172"/>
      <c r="C36" s="172"/>
      <c r="D36" s="178"/>
      <c r="E36" s="178"/>
      <c r="F36" s="178"/>
    </row>
    <row r="37" spans="1:6" ht="16.5" customHeight="1">
      <c r="A37" s="172"/>
      <c r="B37" s="172"/>
      <c r="C37" s="172"/>
      <c r="D37" s="178"/>
      <c r="E37" s="178"/>
      <c r="F37" s="178"/>
    </row>
    <row r="38" spans="1:6" ht="6" customHeight="1" thickBot="1">
      <c r="A38" s="77"/>
      <c r="B38" s="77"/>
      <c r="C38" s="77"/>
      <c r="D38" s="76"/>
      <c r="E38" s="76"/>
      <c r="F38" s="76"/>
    </row>
    <row r="39" spans="1:6" ht="24.75" customHeight="1" thickBot="1">
      <c r="A39" s="166" t="s">
        <v>404</v>
      </c>
      <c r="B39" s="166"/>
      <c r="C39" s="166"/>
      <c r="D39" s="75"/>
      <c r="E39" s="35"/>
      <c r="F39" s="36"/>
    </row>
    <row r="40" spans="1:6" ht="4.5" customHeight="1">
      <c r="A40" s="76"/>
      <c r="B40" s="76"/>
      <c r="C40" s="76"/>
      <c r="D40" s="76"/>
      <c r="E40" s="76"/>
      <c r="F40" s="76"/>
    </row>
    <row r="41" spans="1:6" ht="17.25" customHeight="1"/>
    <row r="42" spans="1:6" ht="29.25" customHeight="1">
      <c r="A42" s="182" t="s">
        <v>513</v>
      </c>
      <c r="B42" s="182"/>
      <c r="C42" s="2"/>
      <c r="D42" s="99" t="s">
        <v>514</v>
      </c>
      <c r="E42" s="100" t="s">
        <v>515</v>
      </c>
      <c r="F42" s="101">
        <f ca="1">NOW()</f>
        <v>43593.963581018521</v>
      </c>
    </row>
    <row r="43" spans="1:6" ht="20.25" customHeight="1">
      <c r="A43" s="183" t="s">
        <v>489</v>
      </c>
      <c r="B43" s="183"/>
      <c r="C43" s="183"/>
      <c r="D43" s="183"/>
      <c r="E43" s="183"/>
      <c r="F43" s="183"/>
    </row>
  </sheetData>
  <sheetProtection sheet="1" objects="1" scenarios="1" selectLockedCells="1"/>
  <dataConsolidate/>
  <mergeCells count="36">
    <mergeCell ref="A42:B42"/>
    <mergeCell ref="A43:F43"/>
    <mergeCell ref="A17:B17"/>
    <mergeCell ref="A28:B30"/>
    <mergeCell ref="A32:C32"/>
    <mergeCell ref="D32:F32"/>
    <mergeCell ref="A34:C34"/>
    <mergeCell ref="D34:F34"/>
    <mergeCell ref="A23:B24"/>
    <mergeCell ref="E23:E24"/>
    <mergeCell ref="F23:F24"/>
    <mergeCell ref="A26:B26"/>
    <mergeCell ref="C26:D26"/>
    <mergeCell ref="C23:C24"/>
    <mergeCell ref="A39:C39"/>
    <mergeCell ref="A19:B19"/>
    <mergeCell ref="C19:E19"/>
    <mergeCell ref="A36:C37"/>
    <mergeCell ref="D36:F37"/>
    <mergeCell ref="A21:C21"/>
    <mergeCell ref="D23:D24"/>
    <mergeCell ref="F16:F17"/>
    <mergeCell ref="C17:E17"/>
    <mergeCell ref="A18:B18"/>
    <mergeCell ref="D8:F8"/>
    <mergeCell ref="A2:D2"/>
    <mergeCell ref="E4:F5"/>
    <mergeCell ref="A10:B10"/>
    <mergeCell ref="A12:B12"/>
    <mergeCell ref="C12:D12"/>
    <mergeCell ref="D10:E10"/>
    <mergeCell ref="A6:C6"/>
    <mergeCell ref="A8:C8"/>
    <mergeCell ref="A14:E14"/>
    <mergeCell ref="A16:B16"/>
    <mergeCell ref="C16:E16"/>
  </mergeCells>
  <dataValidations count="18">
    <dataValidation type="list" allowBlank="1" showInputMessage="1" sqref="D21" xr:uid="{00000000-0002-0000-0100-000000000000}">
      <formula1>Time</formula1>
    </dataValidation>
    <dataValidation type="list" allowBlank="1" showInputMessage="1" sqref="F30" xr:uid="{00000000-0002-0000-0100-000001000000}">
      <formula1>Equipment_Requiring_Rep</formula1>
    </dataValidation>
    <dataValidation type="list" allowBlank="1" showInputMessage="1" sqref="D32:F32" xr:uid="{00000000-0002-0000-0100-000002000000}">
      <formula1>Vendors</formula1>
    </dataValidation>
    <dataValidation type="list" allowBlank="1" showInputMessage="1" sqref="D30" xr:uid="{00000000-0002-0000-0100-000003000000}">
      <formula1>Other_Equipment</formula1>
    </dataValidation>
    <dataValidation type="list" allowBlank="1" showInputMessage="1" sqref="F28" xr:uid="{00000000-0002-0000-0100-000004000000}">
      <formula1>Positioning_Beds</formula1>
    </dataValidation>
    <dataValidation type="list" allowBlank="1" showInputMessage="1" sqref="D28" xr:uid="{00000000-0002-0000-0100-000005000000}">
      <formula1>Radiology</formula1>
    </dataValidation>
    <dataValidation type="list" allowBlank="1" showInputMessage="1" sqref="F26" xr:uid="{00000000-0002-0000-0100-000006000000}">
      <formula1>Surgical_Site_Modifier</formula1>
    </dataValidation>
    <dataValidation type="list" allowBlank="1" showInputMessage="1" sqref="C26:D26" xr:uid="{00000000-0002-0000-0100-000007000000}">
      <formula1>Patient_Position</formula1>
    </dataValidation>
    <dataValidation type="list" allowBlank="1" showInputMessage="1" sqref="F23:F24" xr:uid="{00000000-0002-0000-0100-000008000000}">
      <formula1>Anesthesia_Type</formula1>
    </dataValidation>
    <dataValidation type="list" allowBlank="1" showInputMessage="1" showErrorMessage="1" sqref="C23" xr:uid="{00000000-0002-0000-0100-000009000000}">
      <formula1>Encounter_Type</formula1>
    </dataValidation>
    <dataValidation type="list" allowBlank="1" showInputMessage="1" showErrorMessage="1" sqref="D6 D39" xr:uid="{00000000-0002-0000-0100-00000A000000}">
      <formula1>Yes_No</formula1>
    </dataValidation>
    <dataValidation type="list" allowBlank="1" showInputMessage="1" showErrorMessage="1" sqref="F6" xr:uid="{00000000-0002-0000-0100-00000B000000}">
      <formula1>Languages</formula1>
    </dataValidation>
    <dataValidation type="list" allowBlank="1" showInputMessage="1" showErrorMessage="1" errorTitle="Priority Type Input Not Valid" error="MUST SELECT FROM DROP DOWN OPTIONS. &quot;URGENT&quot; IS NOT AN ACCEPTABLE PRIORITY TYPE.  HIT CANCEL TO CONTINUE" sqref="F21" xr:uid="{00000000-0002-0000-0100-00000C000000}">
      <formula1>Priority</formula1>
    </dataValidation>
    <dataValidation type="list" allowBlank="1" showInputMessage="1" sqref="D34:F34" xr:uid="{00000000-0002-0000-0100-00000D000000}">
      <formula1>Supplies</formula1>
    </dataValidation>
    <dataValidation type="list" allowBlank="1" showInputMessage="1" showErrorMessage="1" sqref="C16" xr:uid="{00000000-0002-0000-0100-00000E000000}">
      <formula1>INDIRECT($C$12)</formula1>
    </dataValidation>
    <dataValidation type="list" allowBlank="1" promptTitle="*REQUIRED" prompt="This field is required" sqref="C12:D12" xr:uid="{00000000-0002-0000-0100-00000F000000}">
      <formula1>Searchable_Surgeons</formula1>
    </dataValidation>
    <dataValidation type="list" allowBlank="1" showInputMessage="1" showErrorMessage="1" promptTitle="AM-Admit" prompt="Only use this field with AM-Admit to select # of days" sqref="D23:D24" xr:uid="{00000000-0002-0000-0100-000010000000}">
      <formula1>INDIRECT($C$23)</formula1>
    </dataValidation>
    <dataValidation type="list" allowBlank="1" showInputMessage="1" sqref="C17:E17" xr:uid="{00000000-0002-0000-0100-000011000000}">
      <formula1>INDIRECT($C$12)</formula1>
    </dataValidation>
  </dataValidations>
  <printOptions horizontalCentered="1" verticalCentered="1"/>
  <pageMargins left="0" right="0" top="0" bottom="0" header="0.3" footer="0.3"/>
  <pageSetup scale="91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92" r:id="rId4" name="TextBox13">
          <controlPr locked="0" defaultSize="0" autoLine="0" r:id="rId5">
            <anchor>
              <from>
                <xdr:col>1</xdr:col>
                <xdr:colOff>236220</xdr:colOff>
                <xdr:row>12</xdr:row>
                <xdr:rowOff>68580</xdr:rowOff>
              </from>
              <to>
                <xdr:col>4</xdr:col>
                <xdr:colOff>1638300</xdr:colOff>
                <xdr:row>14</xdr:row>
                <xdr:rowOff>53340</xdr:rowOff>
              </to>
            </anchor>
          </controlPr>
        </control>
      </mc:Choice>
      <mc:Fallback>
        <control shapeId="1092" r:id="rId4" name="TextBox13"/>
      </mc:Fallback>
    </mc:AlternateContent>
    <mc:AlternateContent xmlns:mc="http://schemas.openxmlformats.org/markup-compatibility/2006">
      <mc:Choice Requires="x14">
        <control shapeId="1090" r:id="rId6" name="TextBox11">
          <controlPr locked="0" autoLine="0" r:id="rId7">
            <anchor moveWithCells="1">
              <from>
                <xdr:col>4</xdr:col>
                <xdr:colOff>22860</xdr:colOff>
                <xdr:row>17</xdr:row>
                <xdr:rowOff>38100</xdr:rowOff>
              </from>
              <to>
                <xdr:col>4</xdr:col>
                <xdr:colOff>1165860</xdr:colOff>
                <xdr:row>17</xdr:row>
                <xdr:rowOff>274320</xdr:rowOff>
              </to>
            </anchor>
          </controlPr>
        </control>
      </mc:Choice>
      <mc:Fallback>
        <control shapeId="1090" r:id="rId6" name="TextBox11"/>
      </mc:Fallback>
    </mc:AlternateContent>
    <mc:AlternateContent xmlns:mc="http://schemas.openxmlformats.org/markup-compatibility/2006">
      <mc:Choice Requires="x14">
        <control shapeId="1089" r:id="rId8" name="TextBox9">
          <controlPr locked="0" autoLine="0" r:id="rId9">
            <anchor moveWithCells="1">
              <from>
                <xdr:col>2</xdr:col>
                <xdr:colOff>861060</xdr:colOff>
                <xdr:row>17</xdr:row>
                <xdr:rowOff>38100</xdr:rowOff>
              </from>
              <to>
                <xdr:col>3</xdr:col>
                <xdr:colOff>403860</xdr:colOff>
                <xdr:row>17</xdr:row>
                <xdr:rowOff>274320</xdr:rowOff>
              </to>
            </anchor>
          </controlPr>
        </control>
      </mc:Choice>
      <mc:Fallback>
        <control shapeId="1089" r:id="rId8" name="TextBox9"/>
      </mc:Fallback>
    </mc:AlternateContent>
    <mc:AlternateContent xmlns:mc="http://schemas.openxmlformats.org/markup-compatibility/2006">
      <mc:Choice Requires="x14">
        <control shapeId="1083" r:id="rId10" name="TextBox21">
          <controlPr locked="0" defaultSize="0" autoLine="0" r:id="rId11">
            <anchor>
              <from>
                <xdr:col>3</xdr:col>
                <xdr:colOff>533400</xdr:colOff>
                <xdr:row>2</xdr:row>
                <xdr:rowOff>0</xdr:rowOff>
              </from>
              <to>
                <xdr:col>3</xdr:col>
                <xdr:colOff>1562100</xdr:colOff>
                <xdr:row>2</xdr:row>
                <xdr:rowOff>327660</xdr:rowOff>
              </to>
            </anchor>
          </controlPr>
        </control>
      </mc:Choice>
      <mc:Fallback>
        <control shapeId="1083" r:id="rId10" name="TextBox21"/>
      </mc:Fallback>
    </mc:AlternateContent>
    <mc:AlternateContent xmlns:mc="http://schemas.openxmlformats.org/markup-compatibility/2006">
      <mc:Choice Requires="x14">
        <control shapeId="1081" r:id="rId12" name="Label2">
          <controlPr print="0" autoLine="0" r:id="rId13">
            <anchor moveWithCells="1">
              <from>
                <xdr:col>4</xdr:col>
                <xdr:colOff>38100</xdr:colOff>
                <xdr:row>43</xdr:row>
                <xdr:rowOff>53340</xdr:rowOff>
              </from>
              <to>
                <xdr:col>5</xdr:col>
                <xdr:colOff>617220</xdr:colOff>
                <xdr:row>46</xdr:row>
                <xdr:rowOff>114300</xdr:rowOff>
              </to>
            </anchor>
          </controlPr>
        </control>
      </mc:Choice>
      <mc:Fallback>
        <control shapeId="1081" r:id="rId12" name="Label2"/>
      </mc:Fallback>
    </mc:AlternateContent>
    <mc:AlternateContent xmlns:mc="http://schemas.openxmlformats.org/markup-compatibility/2006">
      <mc:Choice Requires="x14">
        <control shapeId="1080" r:id="rId14" name="Label1">
          <controlPr print="0" autoLine="0" r:id="rId15">
            <anchor moveWithCells="1">
              <from>
                <xdr:col>2</xdr:col>
                <xdr:colOff>441960</xdr:colOff>
                <xdr:row>43</xdr:row>
                <xdr:rowOff>68580</xdr:rowOff>
              </from>
              <to>
                <xdr:col>3</xdr:col>
                <xdr:colOff>1303020</xdr:colOff>
                <xdr:row>46</xdr:row>
                <xdr:rowOff>83820</xdr:rowOff>
              </to>
            </anchor>
          </controlPr>
        </control>
      </mc:Choice>
      <mc:Fallback>
        <control shapeId="1080" r:id="rId14" name="Label1"/>
      </mc:Fallback>
    </mc:AlternateContent>
    <mc:AlternateContent xmlns:mc="http://schemas.openxmlformats.org/markup-compatibility/2006">
      <mc:Choice Requires="x14">
        <control shapeId="1064" r:id="rId16" name="TextBox15">
          <controlPr locked="0" defaultSize="0" autoLine="0" r:id="rId17">
            <anchor>
              <from>
                <xdr:col>2</xdr:col>
                <xdr:colOff>533400</xdr:colOff>
                <xdr:row>41</xdr:row>
                <xdr:rowOff>312420</xdr:rowOff>
              </from>
              <to>
                <xdr:col>5</xdr:col>
                <xdr:colOff>1798320</xdr:colOff>
                <xdr:row>43</xdr:row>
                <xdr:rowOff>30480</xdr:rowOff>
              </to>
            </anchor>
          </controlPr>
        </control>
      </mc:Choice>
      <mc:Fallback>
        <control shapeId="1064" r:id="rId16" name="TextBox15"/>
      </mc:Fallback>
    </mc:AlternateContent>
    <mc:AlternateContent xmlns:mc="http://schemas.openxmlformats.org/markup-compatibility/2006">
      <mc:Choice Requires="x14">
        <control shapeId="1062" r:id="rId18" name="CommandButton1">
          <controlPr defaultSize="0" print="0" autoLine="0" r:id="rId19">
            <anchor moveWithCells="1">
              <from>
                <xdr:col>0</xdr:col>
                <xdr:colOff>213360</xdr:colOff>
                <xdr:row>43</xdr:row>
                <xdr:rowOff>152400</xdr:rowOff>
              </from>
              <to>
                <xdr:col>2</xdr:col>
                <xdr:colOff>38100</xdr:colOff>
                <xdr:row>46</xdr:row>
                <xdr:rowOff>144780</xdr:rowOff>
              </to>
            </anchor>
          </controlPr>
        </control>
      </mc:Choice>
      <mc:Fallback>
        <control shapeId="1062" r:id="rId18" name="CommandButton1"/>
      </mc:Fallback>
    </mc:AlternateContent>
    <mc:AlternateContent xmlns:mc="http://schemas.openxmlformats.org/markup-compatibility/2006">
      <mc:Choice Requires="x14">
        <control shapeId="1044" r:id="rId20" name="TextBox20">
          <controlPr locked="0" defaultSize="0" autoLine="0" r:id="rId21">
            <anchor>
              <from>
                <xdr:col>3</xdr:col>
                <xdr:colOff>769620</xdr:colOff>
                <xdr:row>40</xdr:row>
                <xdr:rowOff>160020</xdr:rowOff>
              </from>
              <to>
                <xdr:col>4</xdr:col>
                <xdr:colOff>792480</xdr:colOff>
                <xdr:row>41</xdr:row>
                <xdr:rowOff>281940</xdr:rowOff>
              </to>
            </anchor>
          </controlPr>
        </control>
      </mc:Choice>
      <mc:Fallback>
        <control shapeId="1044" r:id="rId20" name="TextBox20"/>
      </mc:Fallback>
    </mc:AlternateContent>
    <mc:AlternateContent xmlns:mc="http://schemas.openxmlformats.org/markup-compatibility/2006">
      <mc:Choice Requires="x14">
        <control shapeId="1043" r:id="rId22" name="TextBox19">
          <controlPr locked="0" defaultSize="0" autoLine="0" r:id="rId23">
            <anchor>
              <from>
                <xdr:col>1</xdr:col>
                <xdr:colOff>388620</xdr:colOff>
                <xdr:row>40</xdr:row>
                <xdr:rowOff>152400</xdr:rowOff>
              </from>
              <to>
                <xdr:col>2</xdr:col>
                <xdr:colOff>1661160</xdr:colOff>
                <xdr:row>41</xdr:row>
                <xdr:rowOff>289560</xdr:rowOff>
              </to>
            </anchor>
          </controlPr>
        </control>
      </mc:Choice>
      <mc:Fallback>
        <control shapeId="1043" r:id="rId22" name="TextBox19"/>
      </mc:Fallback>
    </mc:AlternateContent>
    <mc:AlternateContent xmlns:mc="http://schemas.openxmlformats.org/markup-compatibility/2006">
      <mc:Choice Requires="x14">
        <control shapeId="1042" r:id="rId24" name="TextBox18">
          <controlPr locked="0" defaultSize="0" autoLine="0" r:id="rId25">
            <anchor>
              <from>
                <xdr:col>4</xdr:col>
                <xdr:colOff>106680</xdr:colOff>
                <xdr:row>37</xdr:row>
                <xdr:rowOff>60960</xdr:rowOff>
              </from>
              <to>
                <xdr:col>5</xdr:col>
                <xdr:colOff>1798320</xdr:colOff>
                <xdr:row>39</xdr:row>
                <xdr:rowOff>7620</xdr:rowOff>
              </to>
            </anchor>
          </controlPr>
        </control>
      </mc:Choice>
      <mc:Fallback>
        <control shapeId="1042" r:id="rId24" name="TextBox18"/>
      </mc:Fallback>
    </mc:AlternateContent>
    <mc:AlternateContent xmlns:mc="http://schemas.openxmlformats.org/markup-compatibility/2006">
      <mc:Choice Requires="x14">
        <control shapeId="1041" r:id="rId26" name="TextBox17">
          <controlPr locked="0" defaultSize="0" autoLine="0" r:id="rId27">
            <anchor>
              <from>
                <xdr:col>2</xdr:col>
                <xdr:colOff>45720</xdr:colOff>
                <xdr:row>34</xdr:row>
                <xdr:rowOff>7620</xdr:rowOff>
              </from>
              <to>
                <xdr:col>5</xdr:col>
                <xdr:colOff>1958340</xdr:colOff>
                <xdr:row>37</xdr:row>
                <xdr:rowOff>15240</xdr:rowOff>
              </to>
            </anchor>
          </controlPr>
        </control>
      </mc:Choice>
      <mc:Fallback>
        <control shapeId="1041" r:id="rId26" name="TextBox17"/>
      </mc:Fallback>
    </mc:AlternateContent>
    <mc:AlternateContent xmlns:mc="http://schemas.openxmlformats.org/markup-compatibility/2006">
      <mc:Choice Requires="x14">
        <control shapeId="1040" r:id="rId28" name="TextBox16">
          <controlPr locked="0" defaultSize="0" autoLine="0" r:id="rId29">
            <anchor>
              <from>
                <xdr:col>1</xdr:col>
                <xdr:colOff>601980</xdr:colOff>
                <xdr:row>18</xdr:row>
                <xdr:rowOff>0</xdr:rowOff>
              </from>
              <to>
                <xdr:col>5</xdr:col>
                <xdr:colOff>1965960</xdr:colOff>
                <xdr:row>19</xdr:row>
                <xdr:rowOff>7620</xdr:rowOff>
              </to>
            </anchor>
          </controlPr>
        </control>
      </mc:Choice>
      <mc:Fallback>
        <control shapeId="1040" r:id="rId28" name="TextBox16"/>
      </mc:Fallback>
    </mc:AlternateContent>
    <mc:AlternateContent xmlns:mc="http://schemas.openxmlformats.org/markup-compatibility/2006">
      <mc:Choice Requires="x14">
        <control shapeId="1038" r:id="rId30" name="TextBox14">
          <controlPr locked="0" defaultSize="0" autoLine="0" r:id="rId31">
            <anchor>
              <from>
                <xdr:col>5</xdr:col>
                <xdr:colOff>556260</xdr:colOff>
                <xdr:row>12</xdr:row>
                <xdr:rowOff>76200</xdr:rowOff>
              </from>
              <to>
                <xdr:col>5</xdr:col>
                <xdr:colOff>1805940</xdr:colOff>
                <xdr:row>14</xdr:row>
                <xdr:rowOff>30480</xdr:rowOff>
              </to>
            </anchor>
          </controlPr>
        </control>
      </mc:Choice>
      <mc:Fallback>
        <control shapeId="1038" r:id="rId30" name="TextBox14"/>
      </mc:Fallback>
    </mc:AlternateContent>
    <mc:AlternateContent xmlns:mc="http://schemas.openxmlformats.org/markup-compatibility/2006">
      <mc:Choice Requires="x14">
        <control shapeId="1036" r:id="rId32" name="TextBox12">
          <controlPr locked="0" defaultSize="0" autoLine="0" r:id="rId33">
            <anchor>
              <from>
                <xdr:col>4</xdr:col>
                <xdr:colOff>1135380</xdr:colOff>
                <xdr:row>11</xdr:row>
                <xdr:rowOff>0</xdr:rowOff>
              </from>
              <to>
                <xdr:col>5</xdr:col>
                <xdr:colOff>1805940</xdr:colOff>
                <xdr:row>12</xdr:row>
                <xdr:rowOff>22860</xdr:rowOff>
              </to>
            </anchor>
          </controlPr>
        </control>
      </mc:Choice>
      <mc:Fallback>
        <control shapeId="1036" r:id="rId32" name="TextBox12"/>
      </mc:Fallback>
    </mc:AlternateContent>
    <mc:AlternateContent xmlns:mc="http://schemas.openxmlformats.org/markup-compatibility/2006">
      <mc:Choice Requires="x14">
        <control shapeId="1034" r:id="rId34" name="TextBox10">
          <controlPr locked="0" defaultSize="0" autoLine="0" r:id="rId35">
            <anchor>
              <from>
                <xdr:col>4</xdr:col>
                <xdr:colOff>876300</xdr:colOff>
                <xdr:row>9</xdr:row>
                <xdr:rowOff>7620</xdr:rowOff>
              </from>
              <to>
                <xdr:col>5</xdr:col>
                <xdr:colOff>647700</xdr:colOff>
                <xdr:row>9</xdr:row>
                <xdr:rowOff>312420</xdr:rowOff>
              </to>
            </anchor>
          </controlPr>
        </control>
      </mc:Choice>
      <mc:Fallback>
        <control shapeId="1034" r:id="rId34" name="TextBox10"/>
      </mc:Fallback>
    </mc:AlternateContent>
    <mc:AlternateContent xmlns:mc="http://schemas.openxmlformats.org/markup-compatibility/2006">
      <mc:Choice Requires="x14">
        <control shapeId="1032" r:id="rId36" name="TextBox8">
          <controlPr locked="0" defaultSize="0" autoLine="0" autoPict="0" r:id="rId37">
            <anchor>
              <from>
                <xdr:col>5</xdr:col>
                <xdr:colOff>403860</xdr:colOff>
                <xdr:row>3</xdr:row>
                <xdr:rowOff>213360</xdr:rowOff>
              </from>
              <to>
                <xdr:col>5</xdr:col>
                <xdr:colOff>1798320</xdr:colOff>
                <xdr:row>4</xdr:row>
                <xdr:rowOff>106680</xdr:rowOff>
              </to>
            </anchor>
          </controlPr>
        </control>
      </mc:Choice>
      <mc:Fallback>
        <control shapeId="1032" r:id="rId36" name="TextBox8"/>
      </mc:Fallback>
    </mc:AlternateContent>
    <mc:AlternateContent xmlns:mc="http://schemas.openxmlformats.org/markup-compatibility/2006">
      <mc:Choice Requires="x14">
        <control shapeId="1031" r:id="rId38" name="TextBox7">
          <controlPr locked="0" defaultSize="0" autoLine="0" r:id="rId39">
            <anchor>
              <from>
                <xdr:col>1</xdr:col>
                <xdr:colOff>502920</xdr:colOff>
                <xdr:row>3</xdr:row>
                <xdr:rowOff>0</xdr:rowOff>
              </from>
              <to>
                <xdr:col>3</xdr:col>
                <xdr:colOff>1645920</xdr:colOff>
                <xdr:row>3</xdr:row>
                <xdr:rowOff>297180</xdr:rowOff>
              </to>
            </anchor>
          </controlPr>
        </control>
      </mc:Choice>
      <mc:Fallback>
        <control shapeId="1031" r:id="rId38" name="TextBox7"/>
      </mc:Fallback>
    </mc:AlternateContent>
    <mc:AlternateContent xmlns:mc="http://schemas.openxmlformats.org/markup-compatibility/2006">
      <mc:Choice Requires="x14">
        <control shapeId="1030" r:id="rId40" name="TextBox6">
          <controlPr locked="0" defaultSize="0" autoLine="0" r:id="rId41">
            <anchor>
              <from>
                <xdr:col>0</xdr:col>
                <xdr:colOff>556260</xdr:colOff>
                <xdr:row>1</xdr:row>
                <xdr:rowOff>388620</xdr:rowOff>
              </from>
              <to>
                <xdr:col>3</xdr:col>
                <xdr:colOff>53340</xdr:colOff>
                <xdr:row>2</xdr:row>
                <xdr:rowOff>312420</xdr:rowOff>
              </to>
            </anchor>
          </controlPr>
        </control>
      </mc:Choice>
      <mc:Fallback>
        <control shapeId="1030" r:id="rId40" name="TextBox6"/>
      </mc:Fallback>
    </mc:AlternateContent>
    <mc:AlternateContent xmlns:mc="http://schemas.openxmlformats.org/markup-compatibility/2006">
      <mc:Choice Requires="x14">
        <control shapeId="1029" r:id="rId42" name="TextBox5">
          <controlPr locked="0" defaultSize="0" autoLine="0" r:id="rId43">
            <anchor>
              <from>
                <xdr:col>1</xdr:col>
                <xdr:colOff>350520</xdr:colOff>
                <xdr:row>0</xdr:row>
                <xdr:rowOff>350520</xdr:rowOff>
              </from>
              <to>
                <xdr:col>3</xdr:col>
                <xdr:colOff>1508760</xdr:colOff>
                <xdr:row>1</xdr:row>
                <xdr:rowOff>297180</xdr:rowOff>
              </to>
            </anchor>
          </controlPr>
        </control>
      </mc:Choice>
      <mc:Fallback>
        <control shapeId="1029" r:id="rId42" name="TextBox5"/>
      </mc:Fallback>
    </mc:AlternateContent>
    <mc:AlternateContent xmlns:mc="http://schemas.openxmlformats.org/markup-compatibility/2006">
      <mc:Choice Requires="x14">
        <control shapeId="1028" r:id="rId44" name="TextBox4">
          <controlPr locked="0" defaultSize="0" autoLine="0" r:id="rId45">
            <anchor>
              <from>
                <xdr:col>5</xdr:col>
                <xdr:colOff>350520</xdr:colOff>
                <xdr:row>2</xdr:row>
                <xdr:rowOff>22860</xdr:rowOff>
              </from>
              <to>
                <xdr:col>5</xdr:col>
                <xdr:colOff>1699260</xdr:colOff>
                <xdr:row>2</xdr:row>
                <xdr:rowOff>312420</xdr:rowOff>
              </to>
            </anchor>
          </controlPr>
        </control>
      </mc:Choice>
      <mc:Fallback>
        <control shapeId="1028" r:id="rId44" name="TextBox4"/>
      </mc:Fallback>
    </mc:AlternateContent>
    <mc:AlternateContent xmlns:mc="http://schemas.openxmlformats.org/markup-compatibility/2006">
      <mc:Choice Requires="x14">
        <control shapeId="1027" r:id="rId46" name="TextBox3">
          <controlPr locked="0" defaultSize="0" autoLine="0" r:id="rId47">
            <anchor>
              <from>
                <xdr:col>5</xdr:col>
                <xdr:colOff>365760</xdr:colOff>
                <xdr:row>1</xdr:row>
                <xdr:rowOff>30480</xdr:rowOff>
              </from>
              <to>
                <xdr:col>5</xdr:col>
                <xdr:colOff>1706880</xdr:colOff>
                <xdr:row>1</xdr:row>
                <xdr:rowOff>320040</xdr:rowOff>
              </to>
            </anchor>
          </controlPr>
        </control>
      </mc:Choice>
      <mc:Fallback>
        <control shapeId="1027" r:id="rId46" name="TextBox3"/>
      </mc:Fallback>
    </mc:AlternateContent>
    <mc:AlternateContent xmlns:mc="http://schemas.openxmlformats.org/markup-compatibility/2006">
      <mc:Choice Requires="x14">
        <control shapeId="1026" r:id="rId48" name="TextBox2">
          <controlPr locked="0" defaultSize="0" autoLine="0" r:id="rId49">
            <anchor>
              <from>
                <xdr:col>4</xdr:col>
                <xdr:colOff>350520</xdr:colOff>
                <xdr:row>2</xdr:row>
                <xdr:rowOff>7620</xdr:rowOff>
              </from>
              <to>
                <xdr:col>4</xdr:col>
                <xdr:colOff>1645920</xdr:colOff>
                <xdr:row>2</xdr:row>
                <xdr:rowOff>297180</xdr:rowOff>
              </to>
            </anchor>
          </controlPr>
        </control>
      </mc:Choice>
      <mc:Fallback>
        <control shapeId="1026" r:id="rId48" name="TextBox2"/>
      </mc:Fallback>
    </mc:AlternateContent>
    <mc:AlternateContent xmlns:mc="http://schemas.openxmlformats.org/markup-compatibility/2006">
      <mc:Choice Requires="x14">
        <control shapeId="1025" r:id="rId50" name="TextBox1">
          <controlPr locked="0" defaultSize="0" autoLine="0" r:id="rId49">
            <anchor>
              <from>
                <xdr:col>4</xdr:col>
                <xdr:colOff>350520</xdr:colOff>
                <xdr:row>1</xdr:row>
                <xdr:rowOff>7620</xdr:rowOff>
              </from>
              <to>
                <xdr:col>4</xdr:col>
                <xdr:colOff>1645920</xdr:colOff>
                <xdr:row>1</xdr:row>
                <xdr:rowOff>297180</xdr:rowOff>
              </to>
            </anchor>
          </controlPr>
        </control>
      </mc:Choice>
      <mc:Fallback>
        <control shapeId="1025" r:id="rId50" name="TextBox1"/>
      </mc:Fallback>
    </mc:AlternateContent>
    <mc:AlternateContent xmlns:mc="http://schemas.openxmlformats.org/markup-compatibility/2006">
      <mc:Choice Requires="x14">
        <control shapeId="1075" r:id="rId51" name="CommandButton2">
          <controlPr print="0" autoLine="0" r:id="rId52">
            <anchor moveWithCells="1">
              <from>
                <xdr:col>5</xdr:col>
                <xdr:colOff>678180</xdr:colOff>
                <xdr:row>43</xdr:row>
                <xdr:rowOff>68580</xdr:rowOff>
              </from>
              <to>
                <xdr:col>5</xdr:col>
                <xdr:colOff>1844040</xdr:colOff>
                <xdr:row>46</xdr:row>
                <xdr:rowOff>83820</xdr:rowOff>
              </to>
            </anchor>
          </controlPr>
        </control>
      </mc:Choice>
      <mc:Fallback>
        <control shapeId="1075" r:id="rId5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12000000}">
          <x14:formula1>
            <xm:f>'http://centerpoint/OR/OR Committee Stats Fiscal 17-18/June 2018 Meeting/HH OR Data For June/[TEST_ALERT01.xlsm]Other Lists'!#REF!</xm:f>
          </x14:formula1>
          <xm:sqref>D22 F7</xm:sqref>
        </x14:dataValidation>
        <x14:dataValidation type="list" allowBlank="1" showInputMessage="1" promptTitle="Please Select Date" xr:uid="{00000000-0002-0000-0100-000013000000}">
          <x14:formula1>
            <xm:f>'Other Lists'!$AG$2:$AG$124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I1784"/>
  <sheetViews>
    <sheetView topLeftCell="A367" workbookViewId="0">
      <selection activeCell="B405" sqref="B405"/>
    </sheetView>
  </sheetViews>
  <sheetFormatPr defaultRowHeight="14.4"/>
  <cols>
    <col min="1" max="1" width="67.44140625" bestFit="1" customWidth="1"/>
    <col min="2" max="2" width="33" bestFit="1" customWidth="1"/>
    <col min="4" max="4" width="35.44140625" bestFit="1" customWidth="1"/>
    <col min="5" max="5" width="20.5546875" bestFit="1" customWidth="1"/>
    <col min="8" max="8" width="21.109375" hidden="1" customWidth="1"/>
    <col min="9" max="9" width="67.44140625" hidden="1" customWidth="1"/>
  </cols>
  <sheetData>
    <row r="1" spans="1:9">
      <c r="A1" s="62" t="s">
        <v>28</v>
      </c>
      <c r="B1" s="34" t="s">
        <v>403</v>
      </c>
      <c r="D1" s="52" t="s">
        <v>421</v>
      </c>
      <c r="E1" s="49" t="s">
        <v>422</v>
      </c>
      <c r="H1" t="s">
        <v>27</v>
      </c>
      <c r="I1" t="s">
        <v>28</v>
      </c>
    </row>
    <row r="2" spans="1:9">
      <c r="A2" s="63" t="s">
        <v>466</v>
      </c>
      <c r="B2" s="48" t="s">
        <v>290</v>
      </c>
      <c r="D2" s="53" t="str">
        <f>IF('HH Alert Form 2018'!C16="","*",'HH Alert Form 2018'!C16)</f>
        <v>*</v>
      </c>
      <c r="E2" s="51" t="str">
        <f>IF(D2="*","",VLOOKUP(D2,Table4[],2))</f>
        <v/>
      </c>
      <c r="H2" t="s">
        <v>29</v>
      </c>
      <c r="I2" t="s">
        <v>30</v>
      </c>
    </row>
    <row r="3" spans="1:9">
      <c r="A3" s="33" t="s">
        <v>144</v>
      </c>
      <c r="B3" s="61">
        <v>36901</v>
      </c>
      <c r="D3" s="53" t="str">
        <f>IF('HH Alert Form 2018'!C17="","*",'HH Alert Form 2018'!C17)</f>
        <v>*</v>
      </c>
      <c r="E3" s="51" t="str">
        <f>IF(D3="*","",VLOOKUP(D3,Table4[],2))</f>
        <v/>
      </c>
      <c r="H3" t="s">
        <v>29</v>
      </c>
      <c r="I3" t="s">
        <v>31</v>
      </c>
    </row>
    <row r="4" spans="1:9">
      <c r="A4" s="33" t="s">
        <v>145</v>
      </c>
      <c r="B4" s="61">
        <v>37799</v>
      </c>
      <c r="D4" s="53"/>
      <c r="E4" s="51"/>
      <c r="H4" t="s">
        <v>29</v>
      </c>
      <c r="I4" t="s">
        <v>32</v>
      </c>
    </row>
    <row r="5" spans="1:9" ht="15" thickBot="1">
      <c r="A5" s="33" t="s">
        <v>146</v>
      </c>
      <c r="B5" s="61">
        <v>37799</v>
      </c>
      <c r="D5" s="54" t="s">
        <v>423</v>
      </c>
      <c r="E5" s="50" t="str">
        <f>IF(AND(E2="",E3=""),"",E2&amp;" ; "&amp;E3&amp;"")</f>
        <v/>
      </c>
      <c r="H5" t="s">
        <v>29</v>
      </c>
      <c r="I5" t="s">
        <v>33</v>
      </c>
    </row>
    <row r="6" spans="1:9">
      <c r="A6" s="33" t="s">
        <v>147</v>
      </c>
      <c r="B6" s="61" t="s">
        <v>600</v>
      </c>
      <c r="H6" t="s">
        <v>29</v>
      </c>
      <c r="I6" t="s">
        <v>34</v>
      </c>
    </row>
    <row r="7" spans="1:9">
      <c r="A7" s="33" t="s">
        <v>288</v>
      </c>
      <c r="B7" s="61" t="s">
        <v>600</v>
      </c>
      <c r="H7" t="s">
        <v>29</v>
      </c>
      <c r="I7" t="s">
        <v>35</v>
      </c>
    </row>
    <row r="8" spans="1:9">
      <c r="A8" s="33" t="s">
        <v>148</v>
      </c>
      <c r="B8" s="61" t="s">
        <v>600</v>
      </c>
      <c r="H8" t="s">
        <v>29</v>
      </c>
      <c r="I8" t="s">
        <v>36</v>
      </c>
    </row>
    <row r="9" spans="1:9">
      <c r="A9" s="33" t="s">
        <v>149</v>
      </c>
      <c r="B9" s="61">
        <v>36561</v>
      </c>
      <c r="H9" t="s">
        <v>29</v>
      </c>
      <c r="I9" t="s">
        <v>37</v>
      </c>
    </row>
    <row r="10" spans="1:9">
      <c r="A10" s="33" t="s">
        <v>156</v>
      </c>
      <c r="B10" s="61">
        <v>36571</v>
      </c>
      <c r="H10" t="s">
        <v>38</v>
      </c>
      <c r="I10" t="s">
        <v>39</v>
      </c>
    </row>
    <row r="11" spans="1:9">
      <c r="A11" s="33" t="s">
        <v>150</v>
      </c>
      <c r="B11" s="61" t="s">
        <v>600</v>
      </c>
      <c r="H11" t="s">
        <v>38</v>
      </c>
      <c r="I11" t="s">
        <v>40</v>
      </c>
    </row>
    <row r="12" spans="1:9">
      <c r="A12" s="33" t="s">
        <v>151</v>
      </c>
      <c r="B12" s="61">
        <v>36831</v>
      </c>
      <c r="H12" t="s">
        <v>38</v>
      </c>
      <c r="I12" t="s">
        <v>14</v>
      </c>
    </row>
    <row r="13" spans="1:9">
      <c r="A13" s="33" t="s">
        <v>152</v>
      </c>
      <c r="B13" s="120">
        <v>34703</v>
      </c>
      <c r="H13" t="s">
        <v>38</v>
      </c>
      <c r="I13" t="s">
        <v>41</v>
      </c>
    </row>
    <row r="14" spans="1:9">
      <c r="A14" s="33" t="s">
        <v>153</v>
      </c>
      <c r="B14" s="61">
        <v>35081</v>
      </c>
      <c r="H14" t="s">
        <v>38</v>
      </c>
      <c r="I14" t="s">
        <v>42</v>
      </c>
    </row>
    <row r="15" spans="1:9">
      <c r="A15" s="33" t="s">
        <v>279</v>
      </c>
      <c r="B15" s="61">
        <v>58999</v>
      </c>
      <c r="H15" t="s">
        <v>38</v>
      </c>
      <c r="I15" t="s">
        <v>43</v>
      </c>
    </row>
    <row r="16" spans="1:9">
      <c r="A16" s="33" t="s">
        <v>280</v>
      </c>
      <c r="B16" s="61">
        <v>58150</v>
      </c>
      <c r="H16" t="s">
        <v>38</v>
      </c>
      <c r="I16" t="s">
        <v>44</v>
      </c>
    </row>
    <row r="17" spans="1:9">
      <c r="A17" s="33" t="s">
        <v>39</v>
      </c>
      <c r="B17" s="61" t="s">
        <v>600</v>
      </c>
      <c r="H17" t="s">
        <v>38</v>
      </c>
      <c r="I17" t="s">
        <v>45</v>
      </c>
    </row>
    <row r="18" spans="1:9">
      <c r="A18" s="33" t="s">
        <v>247</v>
      </c>
      <c r="B18" s="61">
        <v>49905</v>
      </c>
      <c r="H18" t="s">
        <v>38</v>
      </c>
      <c r="I18" t="s">
        <v>30</v>
      </c>
    </row>
    <row r="19" spans="1:9">
      <c r="A19" s="33" t="s">
        <v>40</v>
      </c>
      <c r="B19" s="120">
        <v>60540</v>
      </c>
      <c r="D19" t="s">
        <v>342</v>
      </c>
      <c r="H19" t="s">
        <v>38</v>
      </c>
      <c r="I19" t="s">
        <v>31</v>
      </c>
    </row>
    <row r="20" spans="1:9">
      <c r="A20" s="33" t="s">
        <v>14</v>
      </c>
      <c r="B20" s="120">
        <v>60650</v>
      </c>
      <c r="H20" t="s">
        <v>38</v>
      </c>
      <c r="I20" t="s">
        <v>32</v>
      </c>
    </row>
    <row r="21" spans="1:9">
      <c r="A21" s="142" t="s">
        <v>645</v>
      </c>
      <c r="B21" s="48">
        <v>60540</v>
      </c>
      <c r="H21" t="s">
        <v>38</v>
      </c>
      <c r="I21" t="s">
        <v>33</v>
      </c>
    </row>
    <row r="22" spans="1:9">
      <c r="A22" s="33" t="s">
        <v>41</v>
      </c>
      <c r="B22" s="61">
        <v>46200</v>
      </c>
      <c r="H22" t="s">
        <v>38</v>
      </c>
      <c r="I22" t="s">
        <v>46</v>
      </c>
    </row>
    <row r="23" spans="1:9">
      <c r="A23" s="33" t="s">
        <v>230</v>
      </c>
      <c r="B23" s="61">
        <v>46280</v>
      </c>
      <c r="H23" t="s">
        <v>38</v>
      </c>
      <c r="I23" t="s">
        <v>47</v>
      </c>
    </row>
    <row r="24" spans="1:9">
      <c r="A24" s="33" t="s">
        <v>42</v>
      </c>
      <c r="B24" s="61">
        <v>46924</v>
      </c>
      <c r="H24" t="s">
        <v>38</v>
      </c>
      <c r="I24" t="s">
        <v>48</v>
      </c>
    </row>
    <row r="25" spans="1:9">
      <c r="A25" s="33" t="s">
        <v>193</v>
      </c>
      <c r="B25" s="61" t="s">
        <v>600</v>
      </c>
      <c r="H25" t="s">
        <v>38</v>
      </c>
      <c r="I25" t="s">
        <v>49</v>
      </c>
    </row>
    <row r="26" spans="1:9">
      <c r="A26" s="33" t="s">
        <v>154</v>
      </c>
      <c r="B26" s="61">
        <v>35646</v>
      </c>
      <c r="H26" t="s">
        <v>38</v>
      </c>
      <c r="I26" t="s">
        <v>50</v>
      </c>
    </row>
    <row r="27" spans="1:9">
      <c r="A27" s="33" t="s">
        <v>43</v>
      </c>
      <c r="B27" s="120">
        <v>44950</v>
      </c>
      <c r="H27" t="s">
        <v>38</v>
      </c>
      <c r="I27" t="s">
        <v>51</v>
      </c>
    </row>
    <row r="28" spans="1:9">
      <c r="A28" s="33" t="s">
        <v>44</v>
      </c>
      <c r="B28" s="120">
        <v>44970</v>
      </c>
      <c r="H28" t="s">
        <v>38</v>
      </c>
      <c r="I28" t="s">
        <v>52</v>
      </c>
    </row>
    <row r="29" spans="1:9">
      <c r="A29" s="33" t="s">
        <v>155</v>
      </c>
      <c r="B29" s="61" t="s">
        <v>600</v>
      </c>
      <c r="H29" t="s">
        <v>38</v>
      </c>
      <c r="I29" t="s">
        <v>53</v>
      </c>
    </row>
    <row r="30" spans="1:9">
      <c r="A30" s="33" t="s">
        <v>253</v>
      </c>
      <c r="B30" s="61" t="s">
        <v>600</v>
      </c>
      <c r="H30" t="s">
        <v>38</v>
      </c>
      <c r="I30" t="s">
        <v>54</v>
      </c>
    </row>
    <row r="31" spans="1:9">
      <c r="A31" s="33" t="s">
        <v>45</v>
      </c>
      <c r="B31" s="61" t="s">
        <v>600</v>
      </c>
      <c r="H31" t="s">
        <v>38</v>
      </c>
      <c r="I31" t="s">
        <v>55</v>
      </c>
    </row>
    <row r="32" spans="1:9">
      <c r="A32" s="33" t="s">
        <v>157</v>
      </c>
      <c r="B32" s="61">
        <v>35621</v>
      </c>
      <c r="H32" t="s">
        <v>38</v>
      </c>
      <c r="I32" t="s">
        <v>56</v>
      </c>
    </row>
    <row r="33" spans="1:9">
      <c r="A33" s="63" t="s">
        <v>520</v>
      </c>
      <c r="B33" s="48" t="s">
        <v>600</v>
      </c>
      <c r="H33" t="s">
        <v>38</v>
      </c>
      <c r="I33" t="s">
        <v>57</v>
      </c>
    </row>
    <row r="34" spans="1:9">
      <c r="A34" s="63" t="s">
        <v>521</v>
      </c>
      <c r="B34" s="48" t="s">
        <v>600</v>
      </c>
      <c r="H34" t="s">
        <v>38</v>
      </c>
      <c r="I34" t="s">
        <v>58</v>
      </c>
    </row>
    <row r="35" spans="1:9">
      <c r="A35" s="142" t="s">
        <v>662</v>
      </c>
      <c r="B35" s="48" t="s">
        <v>600</v>
      </c>
      <c r="H35" t="s">
        <v>38</v>
      </c>
      <c r="I35" t="s">
        <v>59</v>
      </c>
    </row>
    <row r="36" spans="1:9">
      <c r="A36" s="63" t="s">
        <v>491</v>
      </c>
      <c r="B36" s="61" t="s">
        <v>600</v>
      </c>
      <c r="H36" t="s">
        <v>38</v>
      </c>
      <c r="I36" t="s">
        <v>60</v>
      </c>
    </row>
    <row r="37" spans="1:9">
      <c r="A37" s="33" t="s">
        <v>158</v>
      </c>
      <c r="B37" s="61" t="s">
        <v>600</v>
      </c>
      <c r="H37" t="s">
        <v>38</v>
      </c>
      <c r="I37" t="s">
        <v>61</v>
      </c>
    </row>
    <row r="38" spans="1:9">
      <c r="A38" s="33" t="s">
        <v>425</v>
      </c>
      <c r="B38" s="61" t="s">
        <v>600</v>
      </c>
      <c r="H38" t="s">
        <v>38</v>
      </c>
      <c r="I38" t="s">
        <v>62</v>
      </c>
    </row>
    <row r="39" spans="1:9">
      <c r="A39" s="33" t="s">
        <v>426</v>
      </c>
      <c r="B39" s="61" t="s">
        <v>600</v>
      </c>
      <c r="H39" t="s">
        <v>38</v>
      </c>
      <c r="I39" t="s">
        <v>63</v>
      </c>
    </row>
    <row r="40" spans="1:9">
      <c r="A40" s="33" t="s">
        <v>427</v>
      </c>
      <c r="B40" s="61" t="s">
        <v>600</v>
      </c>
      <c r="H40" t="s">
        <v>38</v>
      </c>
      <c r="I40" t="s">
        <v>64</v>
      </c>
    </row>
    <row r="41" spans="1:9">
      <c r="A41" s="33" t="s">
        <v>30</v>
      </c>
      <c r="B41" s="61">
        <v>19101</v>
      </c>
      <c r="H41" t="s">
        <v>38</v>
      </c>
      <c r="I41" t="s">
        <v>65</v>
      </c>
    </row>
    <row r="42" spans="1:9">
      <c r="A42" s="33" t="s">
        <v>31</v>
      </c>
      <c r="B42" s="61">
        <v>19100</v>
      </c>
      <c r="H42" t="s">
        <v>38</v>
      </c>
      <c r="I42" t="s">
        <v>66</v>
      </c>
    </row>
    <row r="43" spans="1:9">
      <c r="A43" s="33" t="s">
        <v>237</v>
      </c>
      <c r="B43" s="61">
        <v>19328</v>
      </c>
      <c r="H43" t="s">
        <v>38</v>
      </c>
      <c r="I43" t="s">
        <v>67</v>
      </c>
    </row>
    <row r="44" spans="1:9">
      <c r="A44" s="33" t="s">
        <v>32</v>
      </c>
      <c r="B44" s="61">
        <v>19120</v>
      </c>
      <c r="H44" t="s">
        <v>38</v>
      </c>
      <c r="I44" t="s">
        <v>68</v>
      </c>
    </row>
    <row r="45" spans="1:9">
      <c r="A45" s="33" t="s">
        <v>214</v>
      </c>
      <c r="B45" s="61">
        <v>19120</v>
      </c>
      <c r="H45" t="s">
        <v>38</v>
      </c>
      <c r="I45" t="s">
        <v>69</v>
      </c>
    </row>
    <row r="46" spans="1:9">
      <c r="A46" s="33" t="s">
        <v>33</v>
      </c>
      <c r="B46" s="61">
        <v>19120</v>
      </c>
      <c r="H46" t="s">
        <v>38</v>
      </c>
      <c r="I46" t="s">
        <v>70</v>
      </c>
    </row>
    <row r="47" spans="1:9">
      <c r="A47" s="33" t="s">
        <v>34</v>
      </c>
      <c r="B47" s="61" t="s">
        <v>600</v>
      </c>
      <c r="H47" t="s">
        <v>38</v>
      </c>
      <c r="I47" t="s">
        <v>71</v>
      </c>
    </row>
    <row r="48" spans="1:9">
      <c r="A48" s="33" t="s">
        <v>231</v>
      </c>
      <c r="B48" s="61">
        <v>31622</v>
      </c>
      <c r="H48" t="s">
        <v>38</v>
      </c>
      <c r="I48" t="s">
        <v>72</v>
      </c>
    </row>
    <row r="49" spans="1:9">
      <c r="A49" s="33" t="s">
        <v>257</v>
      </c>
      <c r="B49" s="61">
        <v>31622</v>
      </c>
      <c r="H49" t="s">
        <v>38</v>
      </c>
      <c r="I49" t="s">
        <v>73</v>
      </c>
    </row>
    <row r="50" spans="1:9">
      <c r="A50" s="63" t="s">
        <v>492</v>
      </c>
      <c r="B50" s="61" t="s">
        <v>600</v>
      </c>
      <c r="H50" t="s">
        <v>38</v>
      </c>
      <c r="I50" t="s">
        <v>74</v>
      </c>
    </row>
    <row r="51" spans="1:9">
      <c r="A51" s="33" t="s">
        <v>428</v>
      </c>
      <c r="B51" s="61" t="s">
        <v>600</v>
      </c>
      <c r="H51" t="s">
        <v>38</v>
      </c>
      <c r="I51" t="s">
        <v>75</v>
      </c>
    </row>
    <row r="52" spans="1:9">
      <c r="A52" s="33" t="s">
        <v>159</v>
      </c>
      <c r="B52" s="61">
        <v>35301</v>
      </c>
      <c r="H52" t="s">
        <v>38</v>
      </c>
      <c r="I52" t="s">
        <v>76</v>
      </c>
    </row>
    <row r="53" spans="1:9">
      <c r="A53" s="33" t="s">
        <v>160</v>
      </c>
      <c r="B53" s="61">
        <v>35606</v>
      </c>
      <c r="H53" t="s">
        <v>38</v>
      </c>
      <c r="I53" t="s">
        <v>77</v>
      </c>
    </row>
    <row r="54" spans="1:9">
      <c r="A54" s="33" t="s">
        <v>429</v>
      </c>
      <c r="B54" s="61">
        <v>64721</v>
      </c>
      <c r="H54" t="s">
        <v>38</v>
      </c>
      <c r="I54" t="s">
        <v>78</v>
      </c>
    </row>
    <row r="55" spans="1:9">
      <c r="A55" s="33" t="s">
        <v>161</v>
      </c>
      <c r="B55" s="61" t="s">
        <v>600</v>
      </c>
      <c r="H55" t="s">
        <v>38</v>
      </c>
      <c r="I55" t="s">
        <v>79</v>
      </c>
    </row>
    <row r="56" spans="1:9">
      <c r="A56" s="33" t="s">
        <v>430</v>
      </c>
      <c r="B56" s="61" t="s">
        <v>600</v>
      </c>
      <c r="H56" t="s">
        <v>38</v>
      </c>
      <c r="I56" t="s">
        <v>80</v>
      </c>
    </row>
    <row r="57" spans="1:9">
      <c r="A57" s="33" t="s">
        <v>431</v>
      </c>
      <c r="B57" s="61" t="s">
        <v>600</v>
      </c>
      <c r="H57" t="s">
        <v>38</v>
      </c>
      <c r="I57" t="s">
        <v>81</v>
      </c>
    </row>
    <row r="58" spans="1:9">
      <c r="A58" s="33" t="s">
        <v>432</v>
      </c>
      <c r="B58" s="61" t="s">
        <v>600</v>
      </c>
      <c r="H58" t="s">
        <v>38</v>
      </c>
      <c r="I58" t="s">
        <v>82</v>
      </c>
    </row>
    <row r="59" spans="1:9">
      <c r="A59" s="33" t="s">
        <v>258</v>
      </c>
      <c r="B59" s="61">
        <v>32551</v>
      </c>
      <c r="H59" t="s">
        <v>38</v>
      </c>
      <c r="I59" t="s">
        <v>83</v>
      </c>
    </row>
    <row r="60" spans="1:9">
      <c r="A60" s="33" t="s">
        <v>433</v>
      </c>
      <c r="B60" s="61" t="s">
        <v>600</v>
      </c>
      <c r="H60" t="s">
        <v>38</v>
      </c>
      <c r="I60" t="s">
        <v>84</v>
      </c>
    </row>
    <row r="61" spans="1:9">
      <c r="A61" s="33" t="s">
        <v>47</v>
      </c>
      <c r="B61" s="120">
        <v>47600</v>
      </c>
      <c r="H61" t="s">
        <v>38</v>
      </c>
      <c r="I61" t="s">
        <v>85</v>
      </c>
    </row>
    <row r="62" spans="1:9">
      <c r="A62" s="33" t="s">
        <v>48</v>
      </c>
      <c r="B62" s="120">
        <v>47563</v>
      </c>
      <c r="H62" t="s">
        <v>38</v>
      </c>
      <c r="I62" t="s">
        <v>86</v>
      </c>
    </row>
    <row r="63" spans="1:9">
      <c r="A63" s="33" t="s">
        <v>49</v>
      </c>
      <c r="B63" s="120">
        <v>47562</v>
      </c>
      <c r="H63" t="s">
        <v>38</v>
      </c>
      <c r="I63" t="s">
        <v>87</v>
      </c>
    </row>
    <row r="64" spans="1:9">
      <c r="A64" s="33" t="s">
        <v>50</v>
      </c>
      <c r="B64" s="120">
        <v>47605</v>
      </c>
      <c r="H64" t="s">
        <v>38</v>
      </c>
      <c r="I64" t="s">
        <v>88</v>
      </c>
    </row>
    <row r="65" spans="1:9">
      <c r="A65" s="33" t="s">
        <v>51</v>
      </c>
      <c r="B65" s="120" t="s">
        <v>469</v>
      </c>
      <c r="H65" t="s">
        <v>38</v>
      </c>
      <c r="I65" t="s">
        <v>89</v>
      </c>
    </row>
    <row r="66" spans="1:9">
      <c r="A66" s="33" t="s">
        <v>46</v>
      </c>
      <c r="B66" s="120">
        <v>47610</v>
      </c>
      <c r="H66" t="s">
        <v>38</v>
      </c>
      <c r="I66" t="s">
        <v>90</v>
      </c>
    </row>
    <row r="67" spans="1:9">
      <c r="A67" s="33" t="s">
        <v>224</v>
      </c>
      <c r="B67" s="120">
        <v>47740</v>
      </c>
      <c r="H67" t="s">
        <v>38</v>
      </c>
      <c r="I67" t="s">
        <v>91</v>
      </c>
    </row>
    <row r="68" spans="1:9">
      <c r="A68" s="63" t="s">
        <v>522</v>
      </c>
      <c r="B68" s="61" t="s">
        <v>600</v>
      </c>
      <c r="H68" t="s">
        <v>38</v>
      </c>
      <c r="I68" t="s">
        <v>92</v>
      </c>
    </row>
    <row r="69" spans="1:9">
      <c r="A69" s="33" t="s">
        <v>259</v>
      </c>
      <c r="B69" s="61">
        <v>23515</v>
      </c>
      <c r="H69" t="s">
        <v>38</v>
      </c>
      <c r="I69" t="s">
        <v>93</v>
      </c>
    </row>
    <row r="70" spans="1:9">
      <c r="A70" s="33" t="s">
        <v>194</v>
      </c>
      <c r="B70" s="61">
        <v>44150</v>
      </c>
      <c r="H70" t="s">
        <v>38</v>
      </c>
      <c r="I70" t="s">
        <v>94</v>
      </c>
    </row>
    <row r="71" spans="1:9">
      <c r="A71" s="33" t="s">
        <v>52</v>
      </c>
      <c r="B71" s="61">
        <v>44140</v>
      </c>
      <c r="H71" t="s">
        <v>38</v>
      </c>
      <c r="I71" t="s">
        <v>95</v>
      </c>
    </row>
    <row r="72" spans="1:9">
      <c r="A72" s="33" t="s">
        <v>53</v>
      </c>
      <c r="B72" s="61">
        <v>44204</v>
      </c>
      <c r="H72" t="s">
        <v>38</v>
      </c>
      <c r="I72" t="s">
        <v>96</v>
      </c>
    </row>
    <row r="73" spans="1:9">
      <c r="A73" s="33" t="s">
        <v>54</v>
      </c>
      <c r="B73" s="61">
        <v>44145</v>
      </c>
      <c r="H73" t="s">
        <v>38</v>
      </c>
      <c r="I73" t="s">
        <v>97</v>
      </c>
    </row>
    <row r="74" spans="1:9">
      <c r="A74" s="33" t="s">
        <v>55</v>
      </c>
      <c r="B74" s="61">
        <v>44207</v>
      </c>
      <c r="H74" t="s">
        <v>38</v>
      </c>
      <c r="I74" t="s">
        <v>98</v>
      </c>
    </row>
    <row r="75" spans="1:9">
      <c r="A75" s="33" t="s">
        <v>56</v>
      </c>
      <c r="B75" s="61">
        <v>44147</v>
      </c>
      <c r="H75" t="s">
        <v>38</v>
      </c>
      <c r="I75" t="s">
        <v>99</v>
      </c>
    </row>
    <row r="76" spans="1:9">
      <c r="A76" s="33" t="s">
        <v>57</v>
      </c>
      <c r="B76" s="61">
        <v>44320</v>
      </c>
      <c r="H76" t="s">
        <v>38</v>
      </c>
      <c r="I76" t="s">
        <v>100</v>
      </c>
    </row>
    <row r="77" spans="1:9">
      <c r="A77" s="33" t="s">
        <v>58</v>
      </c>
      <c r="B77" s="61">
        <v>44188</v>
      </c>
      <c r="H77" t="s">
        <v>38</v>
      </c>
      <c r="I77" t="s">
        <v>101</v>
      </c>
    </row>
    <row r="78" spans="1:9">
      <c r="A78" s="33" t="s">
        <v>59</v>
      </c>
      <c r="B78" s="61">
        <v>44340</v>
      </c>
      <c r="H78" t="s">
        <v>38</v>
      </c>
      <c r="I78" t="s">
        <v>102</v>
      </c>
    </row>
    <row r="79" spans="1:9">
      <c r="A79" s="33" t="s">
        <v>60</v>
      </c>
      <c r="B79" s="61">
        <v>44620</v>
      </c>
      <c r="H79" t="s">
        <v>38</v>
      </c>
      <c r="I79" t="s">
        <v>103</v>
      </c>
    </row>
    <row r="80" spans="1:9">
      <c r="A80" s="33" t="s">
        <v>238</v>
      </c>
      <c r="B80" s="61">
        <v>47420</v>
      </c>
      <c r="H80" t="s">
        <v>38</v>
      </c>
      <c r="I80" t="s">
        <v>104</v>
      </c>
    </row>
    <row r="81" spans="1:9">
      <c r="A81" s="33" t="s">
        <v>435</v>
      </c>
      <c r="B81" s="61" t="s">
        <v>600</v>
      </c>
      <c r="H81" t="s">
        <v>38</v>
      </c>
      <c r="I81" t="s">
        <v>105</v>
      </c>
    </row>
    <row r="82" spans="1:9">
      <c r="A82" s="33" t="s">
        <v>434</v>
      </c>
      <c r="B82" s="61" t="s">
        <v>600</v>
      </c>
      <c r="H82" t="s">
        <v>38</v>
      </c>
      <c r="I82" t="s">
        <v>106</v>
      </c>
    </row>
    <row r="83" spans="1:9">
      <c r="A83" s="33" t="s">
        <v>436</v>
      </c>
      <c r="B83" s="61" t="s">
        <v>600</v>
      </c>
      <c r="H83" t="s">
        <v>38</v>
      </c>
      <c r="I83" t="s">
        <v>107</v>
      </c>
    </row>
    <row r="84" spans="1:9">
      <c r="A84" s="33" t="s">
        <v>437</v>
      </c>
      <c r="B84" s="61" t="s">
        <v>600</v>
      </c>
      <c r="H84" t="s">
        <v>38</v>
      </c>
      <c r="I84" t="s">
        <v>108</v>
      </c>
    </row>
    <row r="85" spans="1:9">
      <c r="A85" s="33" t="s">
        <v>438</v>
      </c>
      <c r="B85" s="61" t="s">
        <v>600</v>
      </c>
      <c r="H85" t="s">
        <v>38</v>
      </c>
      <c r="I85" t="s">
        <v>35</v>
      </c>
    </row>
    <row r="86" spans="1:9">
      <c r="A86" s="33" t="s">
        <v>439</v>
      </c>
      <c r="B86" s="61" t="s">
        <v>600</v>
      </c>
      <c r="H86" t="s">
        <v>38</v>
      </c>
      <c r="I86" t="s">
        <v>36</v>
      </c>
    </row>
    <row r="87" spans="1:9">
      <c r="A87" s="33" t="s">
        <v>440</v>
      </c>
      <c r="B87" s="61" t="s">
        <v>600</v>
      </c>
      <c r="H87" t="s">
        <v>38</v>
      </c>
      <c r="I87" t="s">
        <v>37</v>
      </c>
    </row>
    <row r="88" spans="1:9">
      <c r="A88" s="33" t="s">
        <v>441</v>
      </c>
      <c r="B88" s="61" t="s">
        <v>600</v>
      </c>
      <c r="H88" t="s">
        <v>38</v>
      </c>
      <c r="I88" t="s">
        <v>109</v>
      </c>
    </row>
    <row r="89" spans="1:9">
      <c r="A89" s="63" t="s">
        <v>570</v>
      </c>
      <c r="B89" s="61" t="s">
        <v>600</v>
      </c>
      <c r="H89" t="s">
        <v>38</v>
      </c>
      <c r="I89" t="s">
        <v>110</v>
      </c>
    </row>
    <row r="90" spans="1:9">
      <c r="A90" s="63" t="s">
        <v>568</v>
      </c>
      <c r="B90" s="48" t="s">
        <v>600</v>
      </c>
      <c r="H90" t="s">
        <v>38</v>
      </c>
      <c r="I90" t="s">
        <v>111</v>
      </c>
    </row>
    <row r="91" spans="1:9">
      <c r="A91" s="63" t="s">
        <v>668</v>
      </c>
      <c r="B91" s="61" t="s">
        <v>600</v>
      </c>
      <c r="H91" t="s">
        <v>38</v>
      </c>
      <c r="I91" t="s">
        <v>112</v>
      </c>
    </row>
    <row r="92" spans="1:9">
      <c r="A92" s="63" t="s">
        <v>523</v>
      </c>
      <c r="B92" s="61" t="s">
        <v>600</v>
      </c>
      <c r="H92" t="s">
        <v>38</v>
      </c>
      <c r="I92" t="s">
        <v>113</v>
      </c>
    </row>
    <row r="93" spans="1:9">
      <c r="A93" s="63" t="s">
        <v>524</v>
      </c>
      <c r="B93" s="61" t="s">
        <v>600</v>
      </c>
      <c r="H93" t="s">
        <v>38</v>
      </c>
      <c r="I93" t="s">
        <v>114</v>
      </c>
    </row>
    <row r="94" spans="1:9">
      <c r="A94" s="63" t="s">
        <v>589</v>
      </c>
      <c r="B94" s="61" t="s">
        <v>600</v>
      </c>
      <c r="H94" t="s">
        <v>38</v>
      </c>
      <c r="I94" t="s">
        <v>115</v>
      </c>
    </row>
    <row r="95" spans="1:9">
      <c r="A95" s="63" t="s">
        <v>525</v>
      </c>
      <c r="B95" s="61" t="s">
        <v>600</v>
      </c>
      <c r="H95" t="s">
        <v>38</v>
      </c>
      <c r="I95" t="s">
        <v>116</v>
      </c>
    </row>
    <row r="96" spans="1:9">
      <c r="A96" s="63" t="s">
        <v>526</v>
      </c>
      <c r="B96" s="61" t="s">
        <v>600</v>
      </c>
      <c r="H96" t="s">
        <v>38</v>
      </c>
      <c r="I96" t="s">
        <v>117</v>
      </c>
    </row>
    <row r="97" spans="1:9">
      <c r="A97" s="63" t="s">
        <v>527</v>
      </c>
      <c r="B97" s="61" t="s">
        <v>600</v>
      </c>
      <c r="H97" t="s">
        <v>38</v>
      </c>
      <c r="I97" t="s">
        <v>118</v>
      </c>
    </row>
    <row r="98" spans="1:9">
      <c r="A98" s="63" t="s">
        <v>528</v>
      </c>
      <c r="B98" s="61" t="s">
        <v>600</v>
      </c>
      <c r="H98" t="s">
        <v>38</v>
      </c>
      <c r="I98" t="s">
        <v>119</v>
      </c>
    </row>
    <row r="99" spans="1:9">
      <c r="A99" s="63" t="s">
        <v>529</v>
      </c>
      <c r="B99" s="61" t="s">
        <v>600</v>
      </c>
      <c r="H99" t="s">
        <v>38</v>
      </c>
      <c r="I99" t="s">
        <v>120</v>
      </c>
    </row>
    <row r="100" spans="1:9">
      <c r="A100" s="63" t="s">
        <v>530</v>
      </c>
      <c r="B100" s="61" t="s">
        <v>600</v>
      </c>
      <c r="H100" t="s">
        <v>38</v>
      </c>
      <c r="I100" t="s">
        <v>121</v>
      </c>
    </row>
    <row r="101" spans="1:9">
      <c r="A101" s="63" t="s">
        <v>531</v>
      </c>
      <c r="B101" s="61" t="s">
        <v>600</v>
      </c>
      <c r="H101" t="s">
        <v>38</v>
      </c>
      <c r="I101" t="s">
        <v>122</v>
      </c>
    </row>
    <row r="102" spans="1:9">
      <c r="A102" s="63" t="s">
        <v>532</v>
      </c>
      <c r="B102" s="61" t="s">
        <v>600</v>
      </c>
      <c r="H102" t="s">
        <v>38</v>
      </c>
      <c r="I102" t="s">
        <v>123</v>
      </c>
    </row>
    <row r="103" spans="1:9">
      <c r="A103" s="63" t="s">
        <v>592</v>
      </c>
      <c r="B103" s="61" t="s">
        <v>600</v>
      </c>
      <c r="H103" t="s">
        <v>38</v>
      </c>
      <c r="I103" t="s">
        <v>124</v>
      </c>
    </row>
    <row r="104" spans="1:9">
      <c r="A104" s="63" t="s">
        <v>533</v>
      </c>
      <c r="B104" s="61" t="s">
        <v>600</v>
      </c>
      <c r="H104" t="s">
        <v>38</v>
      </c>
      <c r="I104" t="s">
        <v>125</v>
      </c>
    </row>
    <row r="105" spans="1:9">
      <c r="A105" s="63" t="s">
        <v>534</v>
      </c>
      <c r="B105" s="61" t="s">
        <v>600</v>
      </c>
      <c r="H105" t="s">
        <v>38</v>
      </c>
      <c r="I105" t="s">
        <v>126</v>
      </c>
    </row>
    <row r="106" spans="1:9">
      <c r="A106" s="63" t="s">
        <v>535</v>
      </c>
      <c r="B106" s="61" t="s">
        <v>600</v>
      </c>
      <c r="H106" t="s">
        <v>38</v>
      </c>
      <c r="I106" t="s">
        <v>127</v>
      </c>
    </row>
    <row r="107" spans="1:9">
      <c r="A107" s="63" t="s">
        <v>536</v>
      </c>
      <c r="B107" s="61" t="s">
        <v>600</v>
      </c>
      <c r="H107" t="s">
        <v>38</v>
      </c>
      <c r="I107" t="s">
        <v>128</v>
      </c>
    </row>
    <row r="108" spans="1:9">
      <c r="A108" s="63" t="s">
        <v>537</v>
      </c>
      <c r="B108" s="61" t="s">
        <v>600</v>
      </c>
      <c r="H108" t="s">
        <v>38</v>
      </c>
      <c r="I108" t="s">
        <v>129</v>
      </c>
    </row>
    <row r="109" spans="1:9">
      <c r="A109" s="63" t="s">
        <v>538</v>
      </c>
      <c r="B109" s="61" t="s">
        <v>600</v>
      </c>
      <c r="H109" t="s">
        <v>38</v>
      </c>
      <c r="I109" t="s">
        <v>130</v>
      </c>
    </row>
    <row r="110" spans="1:9">
      <c r="A110" s="63" t="s">
        <v>664</v>
      </c>
      <c r="B110" s="48" t="s">
        <v>600</v>
      </c>
      <c r="H110" t="s">
        <v>38</v>
      </c>
      <c r="I110" t="s">
        <v>131</v>
      </c>
    </row>
    <row r="111" spans="1:9">
      <c r="A111" s="63" t="s">
        <v>539</v>
      </c>
      <c r="B111" s="61" t="s">
        <v>600</v>
      </c>
      <c r="H111" t="s">
        <v>38</v>
      </c>
      <c r="I111" t="s">
        <v>132</v>
      </c>
    </row>
    <row r="112" spans="1:9">
      <c r="A112" s="63" t="s">
        <v>612</v>
      </c>
      <c r="B112" s="48" t="s">
        <v>646</v>
      </c>
    </row>
    <row r="113" spans="1:9">
      <c r="A113" s="63" t="s">
        <v>613</v>
      </c>
      <c r="B113" s="48" t="s">
        <v>647</v>
      </c>
      <c r="H113" t="s">
        <v>38</v>
      </c>
      <c r="I113" t="s">
        <v>134</v>
      </c>
    </row>
    <row r="114" spans="1:9">
      <c r="A114" s="63" t="s">
        <v>615</v>
      </c>
      <c r="B114" s="48" t="s">
        <v>648</v>
      </c>
      <c r="H114" t="s">
        <v>38</v>
      </c>
      <c r="I114" t="s">
        <v>135</v>
      </c>
    </row>
    <row r="115" spans="1:9">
      <c r="A115" s="63" t="s">
        <v>614</v>
      </c>
      <c r="B115" s="48" t="s">
        <v>648</v>
      </c>
      <c r="H115" t="s">
        <v>38</v>
      </c>
      <c r="I115" t="s">
        <v>136</v>
      </c>
    </row>
    <row r="116" spans="1:9">
      <c r="A116" s="63" t="s">
        <v>616</v>
      </c>
      <c r="B116" s="48" t="s">
        <v>649</v>
      </c>
      <c r="H116" t="s">
        <v>38</v>
      </c>
      <c r="I116" t="s">
        <v>137</v>
      </c>
    </row>
    <row r="117" spans="1:9">
      <c r="A117" s="63" t="s">
        <v>617</v>
      </c>
      <c r="B117" s="48" t="s">
        <v>650</v>
      </c>
      <c r="H117" t="s">
        <v>38</v>
      </c>
      <c r="I117" t="s">
        <v>138</v>
      </c>
    </row>
    <row r="118" spans="1:9">
      <c r="A118" s="63" t="s">
        <v>636</v>
      </c>
      <c r="B118" s="48" t="s">
        <v>651</v>
      </c>
      <c r="H118" t="s">
        <v>38</v>
      </c>
      <c r="I118" t="s">
        <v>139</v>
      </c>
    </row>
    <row r="119" spans="1:9">
      <c r="A119" s="63" t="s">
        <v>637</v>
      </c>
      <c r="B119" s="48" t="s">
        <v>600</v>
      </c>
      <c r="H119" t="s">
        <v>38</v>
      </c>
      <c r="I119" t="s">
        <v>140</v>
      </c>
    </row>
    <row r="120" spans="1:9">
      <c r="A120" s="63" t="s">
        <v>618</v>
      </c>
      <c r="B120" s="48" t="s">
        <v>600</v>
      </c>
      <c r="H120" t="s">
        <v>38</v>
      </c>
      <c r="I120" t="s">
        <v>141</v>
      </c>
    </row>
    <row r="121" spans="1:9">
      <c r="A121" s="63" t="s">
        <v>619</v>
      </c>
      <c r="B121" s="48" t="s">
        <v>600</v>
      </c>
      <c r="H121" t="s">
        <v>38</v>
      </c>
      <c r="I121" t="s">
        <v>142</v>
      </c>
    </row>
    <row r="122" spans="1:9">
      <c r="A122" s="63" t="s">
        <v>620</v>
      </c>
      <c r="B122" s="48" t="s">
        <v>600</v>
      </c>
      <c r="H122" t="s">
        <v>143</v>
      </c>
      <c r="I122" t="s">
        <v>144</v>
      </c>
    </row>
    <row r="123" spans="1:9">
      <c r="A123" s="63" t="s">
        <v>621</v>
      </c>
      <c r="B123" s="48" t="s">
        <v>600</v>
      </c>
      <c r="H123" t="s">
        <v>143</v>
      </c>
      <c r="I123" t="s">
        <v>145</v>
      </c>
    </row>
    <row r="124" spans="1:9">
      <c r="A124" s="63" t="s">
        <v>622</v>
      </c>
      <c r="B124" s="48" t="s">
        <v>652</v>
      </c>
      <c r="H124" t="s">
        <v>143</v>
      </c>
      <c r="I124" t="s">
        <v>146</v>
      </c>
    </row>
    <row r="125" spans="1:9">
      <c r="A125" s="63" t="s">
        <v>623</v>
      </c>
      <c r="B125" s="48" t="s">
        <v>653</v>
      </c>
      <c r="H125" t="s">
        <v>143</v>
      </c>
      <c r="I125" t="s">
        <v>147</v>
      </c>
    </row>
    <row r="126" spans="1:9">
      <c r="A126" s="63" t="s">
        <v>624</v>
      </c>
      <c r="B126" s="48" t="s">
        <v>654</v>
      </c>
      <c r="H126" t="s">
        <v>143</v>
      </c>
      <c r="I126" t="s">
        <v>148</v>
      </c>
    </row>
    <row r="127" spans="1:9">
      <c r="A127" s="63" t="s">
        <v>625</v>
      </c>
      <c r="B127" s="48" t="s">
        <v>655</v>
      </c>
      <c r="H127" t="s">
        <v>143</v>
      </c>
      <c r="I127" t="s">
        <v>149</v>
      </c>
    </row>
    <row r="128" spans="1:9">
      <c r="A128" s="63" t="s">
        <v>626</v>
      </c>
      <c r="B128" s="48" t="s">
        <v>656</v>
      </c>
      <c r="H128" t="s">
        <v>143</v>
      </c>
      <c r="I128" t="s">
        <v>150</v>
      </c>
    </row>
    <row r="129" spans="1:9">
      <c r="A129" s="63" t="s">
        <v>627</v>
      </c>
      <c r="B129" s="48" t="s">
        <v>600</v>
      </c>
      <c r="H129" t="s">
        <v>143</v>
      </c>
      <c r="I129" t="s">
        <v>151</v>
      </c>
    </row>
    <row r="130" spans="1:9">
      <c r="A130" s="63" t="s">
        <v>628</v>
      </c>
      <c r="B130" s="48" t="s">
        <v>600</v>
      </c>
      <c r="H130" t="s">
        <v>143</v>
      </c>
      <c r="I130" t="s">
        <v>152</v>
      </c>
    </row>
    <row r="131" spans="1:9">
      <c r="A131" s="63" t="s">
        <v>629</v>
      </c>
      <c r="B131" s="48" t="s">
        <v>657</v>
      </c>
      <c r="H131" t="s">
        <v>143</v>
      </c>
      <c r="I131" t="s">
        <v>153</v>
      </c>
    </row>
    <row r="132" spans="1:9">
      <c r="A132" s="63" t="s">
        <v>630</v>
      </c>
      <c r="B132" s="48" t="s">
        <v>658</v>
      </c>
      <c r="H132" t="s">
        <v>143</v>
      </c>
      <c r="I132" t="s">
        <v>154</v>
      </c>
    </row>
    <row r="133" spans="1:9">
      <c r="A133" s="63" t="s">
        <v>631</v>
      </c>
      <c r="B133" s="48" t="s">
        <v>600</v>
      </c>
      <c r="H133" t="s">
        <v>143</v>
      </c>
      <c r="I133" t="s">
        <v>155</v>
      </c>
    </row>
    <row r="134" spans="1:9">
      <c r="A134" s="63" t="s">
        <v>632</v>
      </c>
      <c r="B134" s="48" t="s">
        <v>600</v>
      </c>
      <c r="H134" t="s">
        <v>143</v>
      </c>
      <c r="I134" t="s">
        <v>156</v>
      </c>
    </row>
    <row r="135" spans="1:9">
      <c r="A135" s="63" t="s">
        <v>633</v>
      </c>
      <c r="B135" s="48" t="s">
        <v>600</v>
      </c>
      <c r="H135" t="s">
        <v>143</v>
      </c>
      <c r="I135" t="s">
        <v>157</v>
      </c>
    </row>
    <row r="136" spans="1:9">
      <c r="A136" s="63" t="s">
        <v>638</v>
      </c>
      <c r="B136" s="48" t="s">
        <v>600</v>
      </c>
      <c r="H136" t="s">
        <v>143</v>
      </c>
      <c r="I136" t="s">
        <v>158</v>
      </c>
    </row>
    <row r="137" spans="1:9">
      <c r="A137" s="63" t="s">
        <v>639</v>
      </c>
      <c r="B137" s="48" t="s">
        <v>600</v>
      </c>
      <c r="H137" t="s">
        <v>143</v>
      </c>
      <c r="I137" t="s">
        <v>159</v>
      </c>
    </row>
    <row r="138" spans="1:9">
      <c r="A138" s="63" t="s">
        <v>640</v>
      </c>
      <c r="B138" s="48" t="s">
        <v>600</v>
      </c>
      <c r="H138" t="s">
        <v>143</v>
      </c>
      <c r="I138" t="s">
        <v>160</v>
      </c>
    </row>
    <row r="139" spans="1:9">
      <c r="A139" s="63" t="s">
        <v>641</v>
      </c>
      <c r="B139" s="48" t="s">
        <v>649</v>
      </c>
      <c r="H139" t="s">
        <v>143</v>
      </c>
      <c r="I139" t="s">
        <v>161</v>
      </c>
    </row>
    <row r="140" spans="1:9">
      <c r="A140" s="63" t="s">
        <v>642</v>
      </c>
      <c r="B140" s="48" t="s">
        <v>600</v>
      </c>
      <c r="H140" t="s">
        <v>143</v>
      </c>
      <c r="I140" t="s">
        <v>162</v>
      </c>
    </row>
    <row r="141" spans="1:9">
      <c r="A141" s="63" t="s">
        <v>643</v>
      </c>
      <c r="B141" s="48" t="s">
        <v>600</v>
      </c>
      <c r="H141" t="s">
        <v>143</v>
      </c>
      <c r="I141" t="s">
        <v>163</v>
      </c>
    </row>
    <row r="142" spans="1:9">
      <c r="A142" s="63" t="s">
        <v>644</v>
      </c>
      <c r="B142" s="48" t="s">
        <v>600</v>
      </c>
      <c r="H142" t="s">
        <v>143</v>
      </c>
      <c r="I142" t="s">
        <v>164</v>
      </c>
    </row>
    <row r="143" spans="1:9">
      <c r="A143" s="63" t="s">
        <v>634</v>
      </c>
      <c r="B143" s="48" t="s">
        <v>659</v>
      </c>
      <c r="H143" t="s">
        <v>143</v>
      </c>
      <c r="I143" t="s">
        <v>165</v>
      </c>
    </row>
    <row r="144" spans="1:9">
      <c r="A144" s="63" t="s">
        <v>635</v>
      </c>
      <c r="B144" s="48" t="s">
        <v>659</v>
      </c>
      <c r="H144" t="s">
        <v>143</v>
      </c>
      <c r="I144" t="s">
        <v>166</v>
      </c>
    </row>
    <row r="145" spans="1:9">
      <c r="A145" s="63" t="s">
        <v>248</v>
      </c>
      <c r="B145" s="61" t="s">
        <v>600</v>
      </c>
      <c r="H145" t="s">
        <v>143</v>
      </c>
      <c r="I145" t="s">
        <v>167</v>
      </c>
    </row>
    <row r="146" spans="1:9">
      <c r="A146" s="63" t="s">
        <v>442</v>
      </c>
      <c r="B146" s="61" t="s">
        <v>600</v>
      </c>
      <c r="H146" t="s">
        <v>143</v>
      </c>
      <c r="I146" t="s">
        <v>168</v>
      </c>
    </row>
    <row r="147" spans="1:9">
      <c r="A147" s="63" t="s">
        <v>669</v>
      </c>
      <c r="B147" s="48" t="s">
        <v>600</v>
      </c>
      <c r="H147" t="s">
        <v>143</v>
      </c>
      <c r="I147" t="s">
        <v>169</v>
      </c>
    </row>
    <row r="148" spans="1:9">
      <c r="A148" s="63" t="s">
        <v>195</v>
      </c>
      <c r="B148" s="61">
        <v>49570</v>
      </c>
      <c r="H148" t="s">
        <v>143</v>
      </c>
      <c r="I148" t="s">
        <v>170</v>
      </c>
    </row>
    <row r="149" spans="1:9">
      <c r="A149" s="63" t="s">
        <v>260</v>
      </c>
      <c r="B149" s="61">
        <v>43499</v>
      </c>
      <c r="H149" t="s">
        <v>143</v>
      </c>
      <c r="I149" t="s">
        <v>171</v>
      </c>
    </row>
    <row r="150" spans="1:9">
      <c r="A150" s="63" t="s">
        <v>196</v>
      </c>
      <c r="B150" s="61">
        <v>43107</v>
      </c>
      <c r="H150" t="s">
        <v>143</v>
      </c>
      <c r="I150" t="s">
        <v>172</v>
      </c>
    </row>
    <row r="151" spans="1:9">
      <c r="A151" s="63" t="s">
        <v>239</v>
      </c>
      <c r="B151" s="61">
        <v>43107</v>
      </c>
      <c r="H151" t="s">
        <v>143</v>
      </c>
      <c r="I151" t="s">
        <v>71</v>
      </c>
    </row>
    <row r="152" spans="1:9">
      <c r="A152" s="63" t="s">
        <v>261</v>
      </c>
      <c r="B152" s="61">
        <v>43235</v>
      </c>
      <c r="H152" t="s">
        <v>143</v>
      </c>
      <c r="I152" t="s">
        <v>173</v>
      </c>
    </row>
    <row r="153" spans="1:9">
      <c r="A153" s="63" t="s">
        <v>262</v>
      </c>
      <c r="B153" s="61">
        <v>43107</v>
      </c>
      <c r="H153" t="s">
        <v>143</v>
      </c>
      <c r="I153" t="s">
        <v>75</v>
      </c>
    </row>
    <row r="154" spans="1:9">
      <c r="A154" s="63" t="s">
        <v>215</v>
      </c>
      <c r="B154" s="61" t="s">
        <v>600</v>
      </c>
      <c r="H154" t="s">
        <v>143</v>
      </c>
      <c r="I154" t="s">
        <v>174</v>
      </c>
    </row>
    <row r="155" spans="1:9">
      <c r="A155" s="63" t="s">
        <v>598</v>
      </c>
      <c r="B155" s="61" t="s">
        <v>600</v>
      </c>
      <c r="H155" t="s">
        <v>143</v>
      </c>
      <c r="I155" t="s">
        <v>88</v>
      </c>
    </row>
    <row r="156" spans="1:9">
      <c r="A156" s="63" t="s">
        <v>61</v>
      </c>
      <c r="B156" s="61">
        <v>49000</v>
      </c>
      <c r="H156" t="s">
        <v>143</v>
      </c>
      <c r="I156" t="s">
        <v>89</v>
      </c>
    </row>
    <row r="157" spans="1:9">
      <c r="A157" s="63" t="s">
        <v>254</v>
      </c>
      <c r="B157" s="61" t="s">
        <v>600</v>
      </c>
      <c r="H157" t="s">
        <v>143</v>
      </c>
      <c r="I157" t="s">
        <v>175</v>
      </c>
    </row>
    <row r="158" spans="1:9">
      <c r="A158" s="63" t="s">
        <v>162</v>
      </c>
      <c r="B158" s="61" t="s">
        <v>600</v>
      </c>
      <c r="H158" t="s">
        <v>143</v>
      </c>
      <c r="I158" t="s">
        <v>176</v>
      </c>
    </row>
    <row r="159" spans="1:9">
      <c r="A159" s="63" t="s">
        <v>163</v>
      </c>
      <c r="B159" s="61">
        <v>37618</v>
      </c>
      <c r="H159" t="s">
        <v>143</v>
      </c>
      <c r="I159" t="s">
        <v>177</v>
      </c>
    </row>
    <row r="160" spans="1:9">
      <c r="A160" s="63" t="s">
        <v>286</v>
      </c>
      <c r="B160" s="61">
        <v>34221</v>
      </c>
      <c r="H160" t="s">
        <v>143</v>
      </c>
      <c r="I160" t="s">
        <v>178</v>
      </c>
    </row>
    <row r="161" spans="1:9">
      <c r="A161" s="63" t="s">
        <v>164</v>
      </c>
      <c r="B161" s="61">
        <v>35371</v>
      </c>
      <c r="H161" t="s">
        <v>143</v>
      </c>
      <c r="I161" t="s">
        <v>179</v>
      </c>
    </row>
    <row r="162" spans="1:9">
      <c r="A162" s="63" t="s">
        <v>165</v>
      </c>
      <c r="B162" s="61">
        <v>35558</v>
      </c>
      <c r="H162" t="s">
        <v>143</v>
      </c>
      <c r="I162" t="s">
        <v>119</v>
      </c>
    </row>
    <row r="163" spans="1:9">
      <c r="A163" s="63" t="s">
        <v>197</v>
      </c>
      <c r="B163" s="61">
        <v>49550</v>
      </c>
      <c r="H163" t="s">
        <v>143</v>
      </c>
      <c r="I163" t="s">
        <v>180</v>
      </c>
    </row>
    <row r="164" spans="1:9">
      <c r="A164" s="63" t="s">
        <v>166</v>
      </c>
      <c r="B164" s="61">
        <v>35656</v>
      </c>
      <c r="H164" t="s">
        <v>143</v>
      </c>
      <c r="I164" t="s">
        <v>181</v>
      </c>
    </row>
    <row r="165" spans="1:9">
      <c r="A165" s="63" t="s">
        <v>167</v>
      </c>
      <c r="B165" s="61">
        <v>35556</v>
      </c>
      <c r="H165" t="s">
        <v>143</v>
      </c>
      <c r="I165" t="s">
        <v>182</v>
      </c>
    </row>
    <row r="166" spans="1:9">
      <c r="A166" s="63" t="s">
        <v>222</v>
      </c>
      <c r="B166" s="61">
        <v>35666</v>
      </c>
      <c r="H166" t="s">
        <v>143</v>
      </c>
      <c r="I166" t="s">
        <v>183</v>
      </c>
    </row>
    <row r="167" spans="1:9">
      <c r="A167" s="63" t="s">
        <v>168</v>
      </c>
      <c r="B167" s="61">
        <v>35571</v>
      </c>
      <c r="H167" t="s">
        <v>143</v>
      </c>
      <c r="I167" t="s">
        <v>184</v>
      </c>
    </row>
    <row r="168" spans="1:9">
      <c r="A168" s="63" t="s">
        <v>169</v>
      </c>
      <c r="B168" s="61">
        <v>35583</v>
      </c>
      <c r="H168" t="s">
        <v>143</v>
      </c>
      <c r="I168" t="s">
        <v>126</v>
      </c>
    </row>
    <row r="169" spans="1:9">
      <c r="A169" s="63" t="s">
        <v>240</v>
      </c>
      <c r="B169" s="61">
        <v>26951</v>
      </c>
      <c r="H169" t="s">
        <v>143</v>
      </c>
      <c r="I169" t="s">
        <v>185</v>
      </c>
    </row>
    <row r="170" spans="1:9">
      <c r="A170" s="63" t="s">
        <v>170</v>
      </c>
      <c r="B170" s="61">
        <v>37618</v>
      </c>
      <c r="H170" t="s">
        <v>143</v>
      </c>
      <c r="I170" t="s">
        <v>131</v>
      </c>
    </row>
    <row r="171" spans="1:9">
      <c r="A171" s="63" t="s">
        <v>216</v>
      </c>
      <c r="B171" s="61">
        <v>46270</v>
      </c>
      <c r="H171" t="s">
        <v>143</v>
      </c>
      <c r="I171" t="s">
        <v>186</v>
      </c>
    </row>
    <row r="172" spans="1:9">
      <c r="A172" s="63" t="s">
        <v>171</v>
      </c>
      <c r="B172" s="61">
        <v>28800</v>
      </c>
      <c r="H172" t="s">
        <v>143</v>
      </c>
      <c r="I172" t="s">
        <v>187</v>
      </c>
    </row>
    <row r="173" spans="1:9">
      <c r="A173" s="63" t="s">
        <v>493</v>
      </c>
      <c r="B173" s="61" t="s">
        <v>600</v>
      </c>
      <c r="H173" t="s">
        <v>143</v>
      </c>
      <c r="I173" t="s">
        <v>188</v>
      </c>
    </row>
    <row r="174" spans="1:9">
      <c r="A174" s="63" t="s">
        <v>62</v>
      </c>
      <c r="B174" s="61">
        <v>10120</v>
      </c>
      <c r="H174" t="s">
        <v>143</v>
      </c>
      <c r="I174" t="s">
        <v>189</v>
      </c>
    </row>
    <row r="175" spans="1:9">
      <c r="A175" s="63" t="s">
        <v>198</v>
      </c>
      <c r="B175" s="61">
        <v>25111</v>
      </c>
      <c r="H175" t="s">
        <v>143</v>
      </c>
      <c r="I175" t="s">
        <v>190</v>
      </c>
    </row>
    <row r="176" spans="1:9">
      <c r="A176" s="63" t="s">
        <v>241</v>
      </c>
      <c r="B176" s="61">
        <v>43634</v>
      </c>
      <c r="H176" t="s">
        <v>191</v>
      </c>
      <c r="I176" t="s">
        <v>144</v>
      </c>
    </row>
    <row r="177" spans="1:9">
      <c r="A177" s="63" t="s">
        <v>199</v>
      </c>
      <c r="B177" s="61">
        <v>43634</v>
      </c>
      <c r="H177" t="s">
        <v>191</v>
      </c>
      <c r="I177" t="s">
        <v>145</v>
      </c>
    </row>
    <row r="178" spans="1:9">
      <c r="A178" s="63" t="s">
        <v>63</v>
      </c>
      <c r="B178" s="61">
        <v>43620</v>
      </c>
      <c r="H178" t="s">
        <v>191</v>
      </c>
      <c r="I178" t="s">
        <v>146</v>
      </c>
    </row>
    <row r="179" spans="1:9">
      <c r="A179" s="63" t="s">
        <v>64</v>
      </c>
      <c r="B179" s="61">
        <v>43770</v>
      </c>
      <c r="H179" t="s">
        <v>191</v>
      </c>
      <c r="I179" t="s">
        <v>147</v>
      </c>
    </row>
    <row r="180" spans="1:9">
      <c r="A180" s="63" t="s">
        <v>65</v>
      </c>
      <c r="B180" s="61">
        <v>43645</v>
      </c>
      <c r="H180" t="s">
        <v>191</v>
      </c>
      <c r="I180" t="s">
        <v>149</v>
      </c>
    </row>
    <row r="181" spans="1:9">
      <c r="A181" s="63" t="s">
        <v>66</v>
      </c>
      <c r="B181" s="61">
        <v>43659</v>
      </c>
      <c r="H181" t="s">
        <v>191</v>
      </c>
      <c r="I181" t="s">
        <v>150</v>
      </c>
    </row>
    <row r="182" spans="1:9">
      <c r="A182" s="63" t="s">
        <v>67</v>
      </c>
      <c r="B182" s="61" t="s">
        <v>600</v>
      </c>
      <c r="H182" t="s">
        <v>191</v>
      </c>
      <c r="I182" t="s">
        <v>151</v>
      </c>
    </row>
    <row r="183" spans="1:9">
      <c r="A183" s="63" t="s">
        <v>68</v>
      </c>
      <c r="B183" s="61">
        <v>43820</v>
      </c>
      <c r="H183" t="s">
        <v>191</v>
      </c>
      <c r="I183" t="s">
        <v>152</v>
      </c>
    </row>
    <row r="184" spans="1:9">
      <c r="A184" s="63" t="s">
        <v>69</v>
      </c>
      <c r="B184" s="61">
        <v>43510</v>
      </c>
      <c r="H184" t="s">
        <v>191</v>
      </c>
      <c r="I184" t="s">
        <v>154</v>
      </c>
    </row>
    <row r="185" spans="1:9">
      <c r="A185" s="63" t="s">
        <v>70</v>
      </c>
      <c r="B185" s="61">
        <v>43830</v>
      </c>
      <c r="H185" t="s">
        <v>191</v>
      </c>
      <c r="I185" t="s">
        <v>155</v>
      </c>
    </row>
    <row r="186" spans="1:9">
      <c r="A186" s="63" t="s">
        <v>172</v>
      </c>
      <c r="B186" s="61">
        <v>37191</v>
      </c>
      <c r="H186" t="s">
        <v>191</v>
      </c>
      <c r="I186" t="s">
        <v>159</v>
      </c>
    </row>
    <row r="187" spans="1:9">
      <c r="A187" s="63" t="s">
        <v>71</v>
      </c>
      <c r="B187" s="61">
        <v>10060</v>
      </c>
      <c r="H187" t="s">
        <v>191</v>
      </c>
      <c r="I187" t="s">
        <v>164</v>
      </c>
    </row>
    <row r="188" spans="1:9">
      <c r="A188" s="63" t="s">
        <v>494</v>
      </c>
      <c r="B188" s="61" t="s">
        <v>600</v>
      </c>
      <c r="H188" t="s">
        <v>191</v>
      </c>
      <c r="I188" t="s">
        <v>165</v>
      </c>
    </row>
    <row r="189" spans="1:9">
      <c r="A189" s="63" t="s">
        <v>72</v>
      </c>
      <c r="B189" s="61">
        <v>43330</v>
      </c>
      <c r="H189" t="s">
        <v>191</v>
      </c>
      <c r="I189" t="s">
        <v>166</v>
      </c>
    </row>
    <row r="190" spans="1:9">
      <c r="A190" s="63" t="s">
        <v>200</v>
      </c>
      <c r="B190" s="61">
        <v>43279</v>
      </c>
      <c r="H190" t="s">
        <v>191</v>
      </c>
      <c r="I190" t="s">
        <v>71</v>
      </c>
    </row>
    <row r="191" spans="1:9">
      <c r="A191" s="63" t="s">
        <v>173</v>
      </c>
      <c r="B191" s="61">
        <v>36557</v>
      </c>
      <c r="H191" t="s">
        <v>191</v>
      </c>
      <c r="I191" t="s">
        <v>88</v>
      </c>
    </row>
    <row r="192" spans="1:9">
      <c r="A192" s="63" t="s">
        <v>73</v>
      </c>
      <c r="B192" s="61">
        <v>46220</v>
      </c>
      <c r="H192" t="s">
        <v>191</v>
      </c>
      <c r="I192" t="s">
        <v>176</v>
      </c>
    </row>
    <row r="193" spans="1:9">
      <c r="A193" s="63" t="s">
        <v>583</v>
      </c>
      <c r="B193" s="61" t="s">
        <v>600</v>
      </c>
      <c r="H193" t="s">
        <v>191</v>
      </c>
      <c r="I193" t="s">
        <v>177</v>
      </c>
    </row>
    <row r="194" spans="1:9">
      <c r="A194" s="63" t="s">
        <v>201</v>
      </c>
      <c r="B194" s="61">
        <v>47125</v>
      </c>
      <c r="H194" t="s">
        <v>191</v>
      </c>
      <c r="I194" t="s">
        <v>179</v>
      </c>
    </row>
    <row r="195" spans="1:9">
      <c r="A195" s="63" t="s">
        <v>249</v>
      </c>
      <c r="B195" s="61">
        <v>43332</v>
      </c>
      <c r="H195" t="s">
        <v>191</v>
      </c>
      <c r="I195" t="s">
        <v>184</v>
      </c>
    </row>
    <row r="196" spans="1:9">
      <c r="A196" s="63" t="s">
        <v>74</v>
      </c>
      <c r="B196" s="61">
        <v>43281</v>
      </c>
      <c r="H196" t="s">
        <v>191</v>
      </c>
      <c r="I196" t="s">
        <v>126</v>
      </c>
    </row>
    <row r="197" spans="1:9">
      <c r="A197" s="63" t="s">
        <v>75</v>
      </c>
      <c r="B197" s="61">
        <v>36558</v>
      </c>
      <c r="H197" t="s">
        <v>191</v>
      </c>
      <c r="I197" t="s">
        <v>186</v>
      </c>
    </row>
    <row r="198" spans="1:9">
      <c r="A198" s="63" t="s">
        <v>203</v>
      </c>
      <c r="B198" s="61" t="s">
        <v>600</v>
      </c>
      <c r="H198" t="s">
        <v>191</v>
      </c>
      <c r="I198" t="s">
        <v>189</v>
      </c>
    </row>
    <row r="199" spans="1:9">
      <c r="A199" s="63" t="s">
        <v>76</v>
      </c>
      <c r="B199" s="61">
        <v>11450</v>
      </c>
      <c r="H199" t="s">
        <v>192</v>
      </c>
      <c r="I199" t="s">
        <v>39</v>
      </c>
    </row>
    <row r="200" spans="1:9">
      <c r="A200" s="63" t="s">
        <v>204</v>
      </c>
      <c r="B200" s="61">
        <v>11450</v>
      </c>
      <c r="H200" t="s">
        <v>192</v>
      </c>
      <c r="I200" t="s">
        <v>40</v>
      </c>
    </row>
    <row r="201" spans="1:9">
      <c r="A201" s="63" t="s">
        <v>77</v>
      </c>
      <c r="B201" s="61">
        <v>11462</v>
      </c>
      <c r="H201" t="s">
        <v>192</v>
      </c>
      <c r="I201" t="s">
        <v>14</v>
      </c>
    </row>
    <row r="202" spans="1:9">
      <c r="A202" s="63" t="s">
        <v>205</v>
      </c>
      <c r="B202" s="61">
        <v>11462</v>
      </c>
      <c r="H202" t="s">
        <v>192</v>
      </c>
      <c r="I202" t="s">
        <v>41</v>
      </c>
    </row>
    <row r="203" spans="1:9">
      <c r="A203" s="63" t="s">
        <v>206</v>
      </c>
      <c r="B203" s="61">
        <v>11462</v>
      </c>
      <c r="H203" t="s">
        <v>192</v>
      </c>
      <c r="I203" t="s">
        <v>42</v>
      </c>
    </row>
    <row r="204" spans="1:9">
      <c r="A204" s="63" t="s">
        <v>207</v>
      </c>
      <c r="B204" s="61" t="s">
        <v>600</v>
      </c>
      <c r="H204" t="s">
        <v>192</v>
      </c>
      <c r="I204" t="s">
        <v>193</v>
      </c>
    </row>
    <row r="205" spans="1:9">
      <c r="A205" s="63" t="s">
        <v>78</v>
      </c>
      <c r="B205" s="61">
        <v>19120</v>
      </c>
      <c r="H205" t="s">
        <v>192</v>
      </c>
      <c r="I205" t="s">
        <v>43</v>
      </c>
    </row>
    <row r="206" spans="1:9">
      <c r="A206" s="63" t="s">
        <v>79</v>
      </c>
      <c r="B206" s="61" t="s">
        <v>600</v>
      </c>
      <c r="H206" t="s">
        <v>192</v>
      </c>
      <c r="I206" t="s">
        <v>44</v>
      </c>
    </row>
    <row r="207" spans="1:9">
      <c r="A207" s="63" t="s">
        <v>80</v>
      </c>
      <c r="B207" s="61">
        <v>10060</v>
      </c>
      <c r="H207" t="s">
        <v>192</v>
      </c>
      <c r="I207" t="s">
        <v>30</v>
      </c>
    </row>
    <row r="208" spans="1:9">
      <c r="A208" s="63" t="s">
        <v>242</v>
      </c>
      <c r="B208" s="61" t="s">
        <v>600</v>
      </c>
      <c r="H208" t="s">
        <v>192</v>
      </c>
      <c r="I208" t="s">
        <v>31</v>
      </c>
    </row>
    <row r="209" spans="1:9">
      <c r="A209" s="63" t="s">
        <v>233</v>
      </c>
      <c r="B209" s="61">
        <v>44140</v>
      </c>
      <c r="H209" t="s">
        <v>192</v>
      </c>
      <c r="I209" t="s">
        <v>32</v>
      </c>
    </row>
    <row r="210" spans="1:9">
      <c r="A210" s="63" t="s">
        <v>81</v>
      </c>
      <c r="B210" s="61">
        <v>44310</v>
      </c>
      <c r="H210" t="s">
        <v>192</v>
      </c>
      <c r="I210" t="s">
        <v>46</v>
      </c>
    </row>
    <row r="211" spans="1:9">
      <c r="A211" s="63" t="s">
        <v>82</v>
      </c>
      <c r="B211" s="61">
        <v>44227</v>
      </c>
      <c r="H211" t="s">
        <v>192</v>
      </c>
      <c r="I211" t="s">
        <v>47</v>
      </c>
    </row>
    <row r="212" spans="1:9">
      <c r="A212" s="63" t="s">
        <v>540</v>
      </c>
      <c r="B212" s="61" t="s">
        <v>600</v>
      </c>
      <c r="H212" t="s">
        <v>192</v>
      </c>
      <c r="I212" t="s">
        <v>48</v>
      </c>
    </row>
    <row r="213" spans="1:9">
      <c r="A213" s="63" t="s">
        <v>174</v>
      </c>
      <c r="B213" s="61">
        <v>37226</v>
      </c>
      <c r="H213" t="s">
        <v>192</v>
      </c>
      <c r="I213" t="s">
        <v>49</v>
      </c>
    </row>
    <row r="214" spans="1:9">
      <c r="A214" s="63" t="s">
        <v>444</v>
      </c>
      <c r="B214" s="61" t="s">
        <v>600</v>
      </c>
      <c r="H214" t="s">
        <v>192</v>
      </c>
      <c r="I214" t="s">
        <v>50</v>
      </c>
    </row>
    <row r="215" spans="1:9">
      <c r="A215" s="63" t="s">
        <v>225</v>
      </c>
      <c r="B215" s="61">
        <v>49560</v>
      </c>
      <c r="H215" t="s">
        <v>192</v>
      </c>
      <c r="I215" t="s">
        <v>51</v>
      </c>
    </row>
    <row r="216" spans="1:9">
      <c r="A216" s="63" t="s">
        <v>226</v>
      </c>
      <c r="B216" s="61">
        <v>49650</v>
      </c>
      <c r="H216" t="s">
        <v>192</v>
      </c>
      <c r="I216" t="s">
        <v>194</v>
      </c>
    </row>
    <row r="217" spans="1:9">
      <c r="A217" s="63" t="s">
        <v>234</v>
      </c>
      <c r="B217" s="61" t="s">
        <v>470</v>
      </c>
      <c r="H217" t="s">
        <v>192</v>
      </c>
      <c r="I217" t="s">
        <v>52</v>
      </c>
    </row>
    <row r="218" spans="1:9">
      <c r="A218" s="63" t="s">
        <v>85</v>
      </c>
      <c r="B218" s="61">
        <v>49505</v>
      </c>
      <c r="H218" t="s">
        <v>192</v>
      </c>
      <c r="I218" t="s">
        <v>53</v>
      </c>
    </row>
    <row r="219" spans="1:9">
      <c r="A219" s="63" t="s">
        <v>86</v>
      </c>
      <c r="B219" s="61">
        <v>49650</v>
      </c>
      <c r="H219" t="s">
        <v>192</v>
      </c>
      <c r="I219" t="s">
        <v>54</v>
      </c>
    </row>
    <row r="220" spans="1:9">
      <c r="A220" s="63" t="s">
        <v>87</v>
      </c>
      <c r="B220" s="61">
        <v>49505</v>
      </c>
      <c r="H220" t="s">
        <v>192</v>
      </c>
      <c r="I220" t="s">
        <v>55</v>
      </c>
    </row>
    <row r="221" spans="1:9">
      <c r="A221" s="63" t="s">
        <v>243</v>
      </c>
      <c r="B221" s="61">
        <v>49650</v>
      </c>
      <c r="H221" t="s">
        <v>192</v>
      </c>
      <c r="I221" t="s">
        <v>57</v>
      </c>
    </row>
    <row r="222" spans="1:9">
      <c r="A222" s="63" t="s">
        <v>227</v>
      </c>
      <c r="B222" s="61">
        <v>49650</v>
      </c>
      <c r="H222" t="s">
        <v>192</v>
      </c>
      <c r="I222" t="s">
        <v>59</v>
      </c>
    </row>
    <row r="223" spans="1:9">
      <c r="A223" s="63" t="s">
        <v>88</v>
      </c>
      <c r="B223" s="61" t="s">
        <v>600</v>
      </c>
      <c r="H223" t="s">
        <v>192</v>
      </c>
      <c r="I223" t="s">
        <v>60</v>
      </c>
    </row>
    <row r="224" spans="1:9">
      <c r="A224" s="63" t="s">
        <v>89</v>
      </c>
      <c r="B224" s="61" t="s">
        <v>600</v>
      </c>
      <c r="H224" t="s">
        <v>192</v>
      </c>
      <c r="I224" t="s">
        <v>195</v>
      </c>
    </row>
    <row r="225" spans="1:9">
      <c r="A225" s="63" t="s">
        <v>175</v>
      </c>
      <c r="B225" s="61">
        <v>37191</v>
      </c>
      <c r="H225" t="s">
        <v>192</v>
      </c>
      <c r="I225" t="s">
        <v>196</v>
      </c>
    </row>
    <row r="226" spans="1:9">
      <c r="A226" s="63" t="s">
        <v>90</v>
      </c>
      <c r="B226" s="61">
        <v>44310</v>
      </c>
      <c r="H226" t="s">
        <v>192</v>
      </c>
      <c r="I226" t="s">
        <v>61</v>
      </c>
    </row>
    <row r="227" spans="1:9">
      <c r="A227" s="63" t="s">
        <v>584</v>
      </c>
      <c r="B227" s="61" t="s">
        <v>600</v>
      </c>
      <c r="H227" t="s">
        <v>192</v>
      </c>
      <c r="I227" t="s">
        <v>197</v>
      </c>
    </row>
    <row r="228" spans="1:9">
      <c r="A228" s="63" t="s">
        <v>91</v>
      </c>
      <c r="B228" s="61">
        <v>49320</v>
      </c>
      <c r="H228" t="s">
        <v>192</v>
      </c>
      <c r="I228" t="s">
        <v>166</v>
      </c>
    </row>
    <row r="229" spans="1:9">
      <c r="A229" s="63" t="s">
        <v>92</v>
      </c>
      <c r="B229" s="61" t="s">
        <v>600</v>
      </c>
      <c r="H229" t="s">
        <v>192</v>
      </c>
      <c r="I229" t="s">
        <v>62</v>
      </c>
    </row>
    <row r="230" spans="1:9">
      <c r="A230" s="63" t="s">
        <v>93</v>
      </c>
      <c r="B230" s="61">
        <v>49020</v>
      </c>
      <c r="H230" t="s">
        <v>192</v>
      </c>
      <c r="I230" t="s">
        <v>198</v>
      </c>
    </row>
    <row r="231" spans="1:9">
      <c r="A231" s="63" t="s">
        <v>281</v>
      </c>
      <c r="B231" s="61">
        <v>31525</v>
      </c>
      <c r="H231" t="s">
        <v>192</v>
      </c>
      <c r="I231" t="s">
        <v>199</v>
      </c>
    </row>
    <row r="232" spans="1:9">
      <c r="A232" s="63" t="s">
        <v>176</v>
      </c>
      <c r="B232" s="61">
        <v>27590</v>
      </c>
      <c r="H232" t="s">
        <v>192</v>
      </c>
      <c r="I232" t="s">
        <v>63</v>
      </c>
    </row>
    <row r="233" spans="1:9">
      <c r="A233" s="63" t="s">
        <v>289</v>
      </c>
      <c r="B233" s="61">
        <v>27889</v>
      </c>
      <c r="H233" t="s">
        <v>192</v>
      </c>
      <c r="I233" t="s">
        <v>66</v>
      </c>
    </row>
    <row r="234" spans="1:9">
      <c r="A234" s="63" t="s">
        <v>177</v>
      </c>
      <c r="B234" s="61">
        <v>27882</v>
      </c>
      <c r="H234" t="s">
        <v>192</v>
      </c>
      <c r="I234" t="s">
        <v>68</v>
      </c>
    </row>
    <row r="235" spans="1:9">
      <c r="A235" s="63" t="s">
        <v>94</v>
      </c>
      <c r="B235" s="61">
        <v>11440</v>
      </c>
      <c r="H235" t="s">
        <v>192</v>
      </c>
      <c r="I235" t="s">
        <v>69</v>
      </c>
    </row>
    <row r="236" spans="1:9">
      <c r="A236" s="63" t="s">
        <v>95</v>
      </c>
      <c r="B236" s="61">
        <v>11420</v>
      </c>
      <c r="H236" t="s">
        <v>192</v>
      </c>
      <c r="I236" t="s">
        <v>70</v>
      </c>
    </row>
    <row r="237" spans="1:9">
      <c r="A237" s="63" t="s">
        <v>96</v>
      </c>
      <c r="B237" s="61">
        <v>11400</v>
      </c>
      <c r="H237" t="s">
        <v>192</v>
      </c>
      <c r="I237" t="s">
        <v>71</v>
      </c>
    </row>
    <row r="238" spans="1:9">
      <c r="A238" s="63" t="s">
        <v>97</v>
      </c>
      <c r="B238" s="61">
        <v>11400</v>
      </c>
      <c r="H238" t="s">
        <v>192</v>
      </c>
      <c r="I238" t="s">
        <v>72</v>
      </c>
    </row>
    <row r="239" spans="1:9">
      <c r="A239" s="63" t="s">
        <v>98</v>
      </c>
      <c r="B239" s="61">
        <v>11420</v>
      </c>
      <c r="H239" t="s">
        <v>192</v>
      </c>
      <c r="I239" t="s">
        <v>200</v>
      </c>
    </row>
    <row r="240" spans="1:9">
      <c r="A240" s="63" t="s">
        <v>667</v>
      </c>
      <c r="B240" s="48" t="s">
        <v>600</v>
      </c>
      <c r="H240" t="s">
        <v>192</v>
      </c>
      <c r="I240" t="s">
        <v>73</v>
      </c>
    </row>
    <row r="241" spans="1:9">
      <c r="A241" s="63" t="s">
        <v>99</v>
      </c>
      <c r="B241" s="61">
        <v>11400</v>
      </c>
      <c r="H241" t="s">
        <v>192</v>
      </c>
      <c r="I241" t="s">
        <v>201</v>
      </c>
    </row>
    <row r="242" spans="1:9">
      <c r="A242" s="63" t="s">
        <v>100</v>
      </c>
      <c r="B242" s="61">
        <v>11400</v>
      </c>
      <c r="H242" t="s">
        <v>192</v>
      </c>
      <c r="I242" t="s">
        <v>202</v>
      </c>
    </row>
    <row r="243" spans="1:9">
      <c r="A243" s="63" t="s">
        <v>101</v>
      </c>
      <c r="B243" s="61">
        <v>11400</v>
      </c>
      <c r="H243" t="s">
        <v>192</v>
      </c>
      <c r="I243" t="s">
        <v>75</v>
      </c>
    </row>
    <row r="244" spans="1:9">
      <c r="A244" s="63" t="s">
        <v>102</v>
      </c>
      <c r="B244" s="61">
        <v>11400</v>
      </c>
      <c r="H244" t="s">
        <v>192</v>
      </c>
      <c r="I244" t="s">
        <v>203</v>
      </c>
    </row>
    <row r="245" spans="1:9">
      <c r="A245" s="63" t="s">
        <v>103</v>
      </c>
      <c r="B245" s="61">
        <v>11420</v>
      </c>
      <c r="H245" t="s">
        <v>192</v>
      </c>
      <c r="I245" t="s">
        <v>76</v>
      </c>
    </row>
    <row r="246" spans="1:9">
      <c r="A246" s="63" t="s">
        <v>104</v>
      </c>
      <c r="B246" s="61">
        <v>11400</v>
      </c>
      <c r="H246" t="s">
        <v>192</v>
      </c>
      <c r="I246" t="s">
        <v>204</v>
      </c>
    </row>
    <row r="247" spans="1:9">
      <c r="A247" s="63" t="s">
        <v>541</v>
      </c>
      <c r="B247" s="61">
        <v>50590</v>
      </c>
      <c r="H247" t="s">
        <v>192</v>
      </c>
      <c r="I247" t="s">
        <v>77</v>
      </c>
    </row>
    <row r="248" spans="1:9">
      <c r="A248" s="63" t="s">
        <v>585</v>
      </c>
      <c r="B248" s="61" t="s">
        <v>600</v>
      </c>
      <c r="H248" t="s">
        <v>192</v>
      </c>
      <c r="I248" t="s">
        <v>205</v>
      </c>
    </row>
    <row r="249" spans="1:9">
      <c r="A249" s="63" t="s">
        <v>105</v>
      </c>
      <c r="B249" s="61">
        <v>47120</v>
      </c>
      <c r="H249" t="s">
        <v>192</v>
      </c>
      <c r="I249" t="s">
        <v>206</v>
      </c>
    </row>
    <row r="250" spans="1:9">
      <c r="A250" s="63" t="s">
        <v>586</v>
      </c>
      <c r="B250" s="61" t="s">
        <v>600</v>
      </c>
      <c r="H250" t="s">
        <v>192</v>
      </c>
      <c r="I250" t="s">
        <v>207</v>
      </c>
    </row>
    <row r="251" spans="1:9">
      <c r="A251" s="63" t="s">
        <v>263</v>
      </c>
      <c r="B251" s="61" t="s">
        <v>600</v>
      </c>
      <c r="H251" t="s">
        <v>192</v>
      </c>
      <c r="I251" t="s">
        <v>78</v>
      </c>
    </row>
    <row r="252" spans="1:9">
      <c r="A252" s="63" t="s">
        <v>445</v>
      </c>
      <c r="B252" s="61" t="s">
        <v>600</v>
      </c>
      <c r="H252" t="s">
        <v>192</v>
      </c>
      <c r="I252" t="s">
        <v>79</v>
      </c>
    </row>
    <row r="253" spans="1:9">
      <c r="A253" s="63" t="s">
        <v>446</v>
      </c>
      <c r="B253" s="61" t="s">
        <v>600</v>
      </c>
      <c r="H253" t="s">
        <v>192</v>
      </c>
      <c r="I253" t="s">
        <v>80</v>
      </c>
    </row>
    <row r="254" spans="1:9">
      <c r="A254" s="63" t="s">
        <v>660</v>
      </c>
      <c r="B254" s="143" t="s">
        <v>600</v>
      </c>
      <c r="H254" t="s">
        <v>192</v>
      </c>
      <c r="I254" t="s">
        <v>81</v>
      </c>
    </row>
    <row r="255" spans="1:9">
      <c r="A255" s="63" t="s">
        <v>447</v>
      </c>
      <c r="B255" s="61" t="s">
        <v>600</v>
      </c>
      <c r="H255" t="s">
        <v>192</v>
      </c>
      <c r="I255" t="s">
        <v>82</v>
      </c>
    </row>
    <row r="256" spans="1:9">
      <c r="A256" s="63" t="s">
        <v>448</v>
      </c>
      <c r="B256" s="61" t="s">
        <v>600</v>
      </c>
      <c r="H256" t="s">
        <v>192</v>
      </c>
      <c r="I256" t="s">
        <v>83</v>
      </c>
    </row>
    <row r="257" spans="1:9">
      <c r="A257" s="63" t="s">
        <v>264</v>
      </c>
      <c r="B257" s="61">
        <v>31625</v>
      </c>
      <c r="H257" t="s">
        <v>192</v>
      </c>
      <c r="I257" t="s">
        <v>84</v>
      </c>
    </row>
    <row r="258" spans="1:9">
      <c r="A258" s="63" t="s">
        <v>106</v>
      </c>
      <c r="B258" s="61">
        <v>38510</v>
      </c>
      <c r="H258" t="s">
        <v>192</v>
      </c>
      <c r="I258" t="s">
        <v>85</v>
      </c>
    </row>
    <row r="259" spans="1:9">
      <c r="A259" s="63" t="s">
        <v>106</v>
      </c>
      <c r="B259" s="48" t="s">
        <v>600</v>
      </c>
      <c r="H259" t="s">
        <v>192</v>
      </c>
      <c r="I259" t="s">
        <v>86</v>
      </c>
    </row>
    <row r="260" spans="1:9">
      <c r="A260" s="63" t="s">
        <v>107</v>
      </c>
      <c r="B260" s="61">
        <v>38525</v>
      </c>
      <c r="H260" t="s">
        <v>192</v>
      </c>
      <c r="I260" t="s">
        <v>87</v>
      </c>
    </row>
    <row r="261" spans="1:9">
      <c r="A261" s="63" t="s">
        <v>108</v>
      </c>
      <c r="B261" s="61">
        <v>10021</v>
      </c>
      <c r="H261" t="s">
        <v>192</v>
      </c>
      <c r="I261" t="s">
        <v>88</v>
      </c>
    </row>
    <row r="262" spans="1:9">
      <c r="A262" s="63" t="s">
        <v>35</v>
      </c>
      <c r="B262" s="61">
        <v>19305</v>
      </c>
      <c r="H262" t="s">
        <v>192</v>
      </c>
      <c r="I262" t="s">
        <v>90</v>
      </c>
    </row>
    <row r="263" spans="1:9">
      <c r="A263" s="63" t="s">
        <v>36</v>
      </c>
      <c r="B263" s="61">
        <v>19303</v>
      </c>
      <c r="H263" t="s">
        <v>192</v>
      </c>
      <c r="I263" t="s">
        <v>91</v>
      </c>
    </row>
    <row r="264" spans="1:9">
      <c r="A264" s="63" t="s">
        <v>37</v>
      </c>
      <c r="B264" s="61">
        <v>38900</v>
      </c>
      <c r="H264" t="s">
        <v>192</v>
      </c>
      <c r="I264" t="s">
        <v>92</v>
      </c>
    </row>
    <row r="265" spans="1:9">
      <c r="A265" s="63" t="s">
        <v>178</v>
      </c>
      <c r="B265" s="61" t="s">
        <v>600</v>
      </c>
      <c r="H265" t="s">
        <v>192</v>
      </c>
      <c r="I265" t="s">
        <v>93</v>
      </c>
    </row>
    <row r="266" spans="1:9">
      <c r="A266" s="63" t="s">
        <v>265</v>
      </c>
      <c r="B266" s="61">
        <v>39401</v>
      </c>
      <c r="H266" t="s">
        <v>192</v>
      </c>
      <c r="I266" t="s">
        <v>94</v>
      </c>
    </row>
    <row r="267" spans="1:9">
      <c r="A267" s="63" t="s">
        <v>266</v>
      </c>
      <c r="B267" s="61">
        <v>39000</v>
      </c>
      <c r="H267" t="s">
        <v>192</v>
      </c>
      <c r="I267" t="s">
        <v>95</v>
      </c>
    </row>
    <row r="268" spans="1:9">
      <c r="A268" s="63" t="s">
        <v>109</v>
      </c>
      <c r="B268" s="61">
        <v>20200</v>
      </c>
      <c r="H268" t="s">
        <v>192</v>
      </c>
      <c r="I268" t="s">
        <v>96</v>
      </c>
    </row>
    <row r="269" spans="1:9">
      <c r="A269" s="63" t="s">
        <v>282</v>
      </c>
      <c r="B269" s="61">
        <v>38724</v>
      </c>
      <c r="H269" t="s">
        <v>192</v>
      </c>
      <c r="I269" t="s">
        <v>97</v>
      </c>
    </row>
    <row r="270" spans="1:9">
      <c r="A270" s="63" t="s">
        <v>110</v>
      </c>
      <c r="B270" s="61" t="s">
        <v>600</v>
      </c>
      <c r="H270" t="s">
        <v>192</v>
      </c>
      <c r="I270" t="s">
        <v>98</v>
      </c>
    </row>
    <row r="271" spans="1:9">
      <c r="A271" s="63" t="s">
        <v>544</v>
      </c>
      <c r="B271" s="61" t="s">
        <v>600</v>
      </c>
      <c r="H271" t="s">
        <v>192</v>
      </c>
      <c r="I271" t="s">
        <v>99</v>
      </c>
    </row>
    <row r="272" spans="1:9">
      <c r="A272" s="63" t="s">
        <v>571</v>
      </c>
      <c r="B272" s="61" t="s">
        <v>600</v>
      </c>
      <c r="H272" t="s">
        <v>192</v>
      </c>
      <c r="I272" t="s">
        <v>100</v>
      </c>
    </row>
    <row r="273" spans="1:9">
      <c r="A273" s="63" t="s">
        <v>572</v>
      </c>
      <c r="B273" s="61" t="s">
        <v>600</v>
      </c>
      <c r="H273" t="s">
        <v>192</v>
      </c>
      <c r="I273" t="s">
        <v>101</v>
      </c>
    </row>
    <row r="274" spans="1:9">
      <c r="A274" s="63" t="s">
        <v>573</v>
      </c>
      <c r="B274" s="61" t="s">
        <v>600</v>
      </c>
      <c r="H274" t="s">
        <v>192</v>
      </c>
      <c r="I274" t="s">
        <v>102</v>
      </c>
    </row>
    <row r="275" spans="1:9">
      <c r="A275" s="63" t="s">
        <v>542</v>
      </c>
      <c r="B275" s="61" t="s">
        <v>600</v>
      </c>
      <c r="H275" t="s">
        <v>192</v>
      </c>
      <c r="I275" t="s">
        <v>103</v>
      </c>
    </row>
    <row r="276" spans="1:9">
      <c r="A276" s="63" t="s">
        <v>543</v>
      </c>
      <c r="B276" s="61" t="s">
        <v>600</v>
      </c>
      <c r="H276" t="s">
        <v>192</v>
      </c>
      <c r="I276" t="s">
        <v>104</v>
      </c>
    </row>
    <row r="277" spans="1:9">
      <c r="A277" s="63" t="s">
        <v>666</v>
      </c>
      <c r="B277" s="48" t="s">
        <v>600</v>
      </c>
      <c r="H277" t="s">
        <v>192</v>
      </c>
      <c r="I277" t="s">
        <v>105</v>
      </c>
    </row>
    <row r="278" spans="1:9">
      <c r="A278" s="63" t="s">
        <v>111</v>
      </c>
      <c r="B278" s="61">
        <v>64795</v>
      </c>
      <c r="H278" t="s">
        <v>192</v>
      </c>
      <c r="I278" t="s">
        <v>106</v>
      </c>
    </row>
    <row r="279" spans="1:9">
      <c r="A279" s="63" t="s">
        <v>112</v>
      </c>
      <c r="B279" s="61">
        <v>43325</v>
      </c>
      <c r="H279" t="s">
        <v>192</v>
      </c>
      <c r="I279" t="s">
        <v>107</v>
      </c>
    </row>
    <row r="280" spans="1:9">
      <c r="A280" s="63" t="s">
        <v>113</v>
      </c>
      <c r="B280" s="61">
        <v>43280</v>
      </c>
      <c r="H280" t="s">
        <v>192</v>
      </c>
      <c r="I280" t="s">
        <v>108</v>
      </c>
    </row>
    <row r="281" spans="1:9">
      <c r="A281" s="63" t="s">
        <v>449</v>
      </c>
      <c r="B281" s="61" t="s">
        <v>600</v>
      </c>
      <c r="H281" t="s">
        <v>192</v>
      </c>
      <c r="I281" t="s">
        <v>36</v>
      </c>
    </row>
    <row r="282" spans="1:9">
      <c r="A282" s="63" t="s">
        <v>574</v>
      </c>
      <c r="B282" s="61" t="s">
        <v>600</v>
      </c>
      <c r="H282" t="s">
        <v>192</v>
      </c>
      <c r="I282" t="s">
        <v>37</v>
      </c>
    </row>
    <row r="283" spans="1:9">
      <c r="A283" s="63" t="s">
        <v>545</v>
      </c>
      <c r="B283" s="61" t="s">
        <v>600</v>
      </c>
      <c r="H283" t="s">
        <v>192</v>
      </c>
      <c r="I283" t="s">
        <v>109</v>
      </c>
    </row>
    <row r="284" spans="1:9">
      <c r="A284" s="63" t="s">
        <v>590</v>
      </c>
      <c r="B284" s="61" t="s">
        <v>600</v>
      </c>
      <c r="H284" t="s">
        <v>192</v>
      </c>
      <c r="I284" t="s">
        <v>110</v>
      </c>
    </row>
    <row r="285" spans="1:9">
      <c r="A285" s="63" t="s">
        <v>208</v>
      </c>
      <c r="B285" s="61">
        <v>48140</v>
      </c>
      <c r="H285" t="s">
        <v>192</v>
      </c>
      <c r="I285" t="s">
        <v>112</v>
      </c>
    </row>
    <row r="286" spans="1:9">
      <c r="A286" s="63" t="s">
        <v>283</v>
      </c>
      <c r="B286" s="61">
        <v>48500</v>
      </c>
      <c r="H286" t="s">
        <v>192</v>
      </c>
      <c r="I286" t="s">
        <v>113</v>
      </c>
    </row>
    <row r="287" spans="1:9">
      <c r="A287" s="63" t="s">
        <v>114</v>
      </c>
      <c r="B287" s="61" t="s">
        <v>600</v>
      </c>
      <c r="H287" t="s">
        <v>192</v>
      </c>
      <c r="I287" t="s">
        <v>208</v>
      </c>
    </row>
    <row r="288" spans="1:9">
      <c r="A288" s="63" t="s">
        <v>218</v>
      </c>
      <c r="B288" s="61">
        <v>60500</v>
      </c>
      <c r="H288" t="s">
        <v>192</v>
      </c>
      <c r="I288" t="s">
        <v>115</v>
      </c>
    </row>
    <row r="289" spans="1:9">
      <c r="A289" s="63" t="s">
        <v>546</v>
      </c>
      <c r="B289" s="61" t="s">
        <v>600</v>
      </c>
      <c r="H289" t="s">
        <v>192</v>
      </c>
      <c r="I289" t="s">
        <v>116</v>
      </c>
    </row>
    <row r="290" spans="1:9">
      <c r="A290" s="63" t="s">
        <v>670</v>
      </c>
      <c r="B290" s="48" t="s">
        <v>600</v>
      </c>
      <c r="H290" t="s">
        <v>192</v>
      </c>
      <c r="I290" t="s">
        <v>117</v>
      </c>
    </row>
    <row r="291" spans="1:9">
      <c r="A291" s="63" t="s">
        <v>673</v>
      </c>
      <c r="B291" s="61" t="s">
        <v>600</v>
      </c>
      <c r="H291" t="s">
        <v>192</v>
      </c>
      <c r="I291" t="s">
        <v>118</v>
      </c>
    </row>
    <row r="292" spans="1:9">
      <c r="A292" s="63" t="s">
        <v>575</v>
      </c>
      <c r="B292" s="61" t="s">
        <v>600</v>
      </c>
      <c r="H292" t="s">
        <v>192</v>
      </c>
      <c r="I292" t="s">
        <v>119</v>
      </c>
    </row>
    <row r="293" spans="1:9">
      <c r="A293" s="63" t="s">
        <v>547</v>
      </c>
      <c r="B293" s="61" t="s">
        <v>600</v>
      </c>
      <c r="H293" t="s">
        <v>192</v>
      </c>
      <c r="I293" t="s">
        <v>120</v>
      </c>
    </row>
    <row r="294" spans="1:9">
      <c r="A294" s="63" t="s">
        <v>548</v>
      </c>
      <c r="B294" s="61" t="s">
        <v>600</v>
      </c>
      <c r="H294" t="s">
        <v>192</v>
      </c>
      <c r="I294" t="s">
        <v>209</v>
      </c>
    </row>
    <row r="295" spans="1:9">
      <c r="A295" s="63" t="s">
        <v>576</v>
      </c>
      <c r="B295" s="61" t="s">
        <v>600</v>
      </c>
      <c r="H295" t="s">
        <v>192</v>
      </c>
      <c r="I295" t="s">
        <v>210</v>
      </c>
    </row>
    <row r="296" spans="1:9">
      <c r="A296" s="63" t="s">
        <v>577</v>
      </c>
      <c r="B296" s="61" t="s">
        <v>600</v>
      </c>
      <c r="H296" t="s">
        <v>192</v>
      </c>
      <c r="I296" t="s">
        <v>121</v>
      </c>
    </row>
    <row r="297" spans="1:9">
      <c r="A297" s="63" t="s">
        <v>267</v>
      </c>
      <c r="B297" s="61">
        <v>33015</v>
      </c>
      <c r="H297" t="s">
        <v>192</v>
      </c>
      <c r="I297" t="s">
        <v>122</v>
      </c>
    </row>
    <row r="298" spans="1:9">
      <c r="A298" s="63" t="s">
        <v>115</v>
      </c>
      <c r="B298" s="61">
        <v>10060</v>
      </c>
      <c r="H298" t="s">
        <v>192</v>
      </c>
      <c r="I298" t="s">
        <v>123</v>
      </c>
    </row>
    <row r="299" spans="1:9">
      <c r="A299" s="63" t="s">
        <v>116</v>
      </c>
      <c r="B299" s="61">
        <v>17110</v>
      </c>
      <c r="H299" t="s">
        <v>192</v>
      </c>
      <c r="I299" t="s">
        <v>124</v>
      </c>
    </row>
    <row r="300" spans="1:9">
      <c r="A300" s="63" t="s">
        <v>674</v>
      </c>
      <c r="B300" s="61" t="s">
        <v>600</v>
      </c>
      <c r="H300" t="s">
        <v>192</v>
      </c>
      <c r="I300" t="s">
        <v>125</v>
      </c>
    </row>
    <row r="301" spans="1:9">
      <c r="A301" s="63" t="s">
        <v>117</v>
      </c>
      <c r="B301" s="61">
        <v>49418</v>
      </c>
      <c r="H301" t="s">
        <v>192</v>
      </c>
      <c r="I301" t="s">
        <v>126</v>
      </c>
    </row>
    <row r="302" spans="1:9">
      <c r="A302" s="63" t="s">
        <v>244</v>
      </c>
      <c r="B302" s="61">
        <v>49324</v>
      </c>
      <c r="H302" t="s">
        <v>192</v>
      </c>
      <c r="I302" t="s">
        <v>127</v>
      </c>
    </row>
    <row r="303" spans="1:9">
      <c r="A303" s="63" t="s">
        <v>179</v>
      </c>
      <c r="B303" s="61">
        <v>37799</v>
      </c>
      <c r="H303" t="s">
        <v>192</v>
      </c>
      <c r="I303" t="s">
        <v>128</v>
      </c>
    </row>
    <row r="304" spans="1:9">
      <c r="A304" s="63" t="s">
        <v>118</v>
      </c>
      <c r="B304" s="61">
        <v>11770</v>
      </c>
      <c r="H304" t="s">
        <v>192</v>
      </c>
      <c r="I304" t="s">
        <v>129</v>
      </c>
    </row>
    <row r="305" spans="1:9">
      <c r="A305" s="63" t="s">
        <v>450</v>
      </c>
      <c r="B305" s="61" t="s">
        <v>600</v>
      </c>
      <c r="H305" t="s">
        <v>192</v>
      </c>
      <c r="I305" t="s">
        <v>211</v>
      </c>
    </row>
    <row r="306" spans="1:9">
      <c r="A306" s="63" t="s">
        <v>268</v>
      </c>
      <c r="B306" s="61">
        <v>51102</v>
      </c>
      <c r="H306" t="s">
        <v>192</v>
      </c>
      <c r="I306" t="s">
        <v>212</v>
      </c>
    </row>
    <row r="307" spans="1:9">
      <c r="A307" s="63" t="s">
        <v>269</v>
      </c>
      <c r="B307" s="61" t="s">
        <v>600</v>
      </c>
      <c r="H307" t="s">
        <v>192</v>
      </c>
      <c r="I307" t="s">
        <v>131</v>
      </c>
    </row>
    <row r="308" spans="1:9">
      <c r="A308" s="63" t="s">
        <v>270</v>
      </c>
      <c r="B308" s="61">
        <v>32488</v>
      </c>
      <c r="H308" t="s">
        <v>192</v>
      </c>
      <c r="I308" t="s">
        <v>132</v>
      </c>
    </row>
    <row r="309" spans="1:9">
      <c r="A309" s="63" t="s">
        <v>255</v>
      </c>
      <c r="B309" s="61">
        <v>35571</v>
      </c>
      <c r="H309" t="s">
        <v>192</v>
      </c>
      <c r="I309" t="s">
        <v>133</v>
      </c>
    </row>
    <row r="310" spans="1:9">
      <c r="A310" s="63" t="s">
        <v>119</v>
      </c>
      <c r="B310" s="61">
        <v>36561</v>
      </c>
      <c r="H310" t="s">
        <v>192</v>
      </c>
      <c r="I310" t="s">
        <v>134</v>
      </c>
    </row>
    <row r="311" spans="1:9">
      <c r="A311" s="63" t="s">
        <v>120</v>
      </c>
      <c r="B311" s="61">
        <v>36590</v>
      </c>
      <c r="H311" t="s">
        <v>192</v>
      </c>
      <c r="I311" t="s">
        <v>135</v>
      </c>
    </row>
    <row r="312" spans="1:9">
      <c r="A312" s="63" t="s">
        <v>549</v>
      </c>
      <c r="B312" s="61">
        <v>54435</v>
      </c>
      <c r="H312" t="s">
        <v>192</v>
      </c>
      <c r="I312" t="s">
        <v>137</v>
      </c>
    </row>
    <row r="313" spans="1:9">
      <c r="A313" s="63" t="s">
        <v>209</v>
      </c>
      <c r="B313" s="61">
        <v>44212</v>
      </c>
      <c r="H313" t="s">
        <v>192</v>
      </c>
      <c r="I313" t="s">
        <v>138</v>
      </c>
    </row>
    <row r="314" spans="1:9">
      <c r="A314" s="63" t="s">
        <v>210</v>
      </c>
      <c r="B314" s="61" t="s">
        <v>600</v>
      </c>
      <c r="H314" t="s">
        <v>192</v>
      </c>
      <c r="I314" t="s">
        <v>139</v>
      </c>
    </row>
    <row r="315" spans="1:9">
      <c r="A315" s="63" t="s">
        <v>550</v>
      </c>
      <c r="B315" s="61" t="s">
        <v>600</v>
      </c>
      <c r="H315" t="s">
        <v>192</v>
      </c>
      <c r="I315" t="s">
        <v>140</v>
      </c>
    </row>
    <row r="316" spans="1:9">
      <c r="A316" s="63" t="s">
        <v>551</v>
      </c>
      <c r="B316" s="61" t="s">
        <v>600</v>
      </c>
      <c r="H316" t="s">
        <v>192</v>
      </c>
      <c r="I316" t="s">
        <v>141</v>
      </c>
    </row>
    <row r="317" spans="1:9">
      <c r="A317" s="63" t="s">
        <v>552</v>
      </c>
      <c r="B317" s="61" t="s">
        <v>600</v>
      </c>
      <c r="H317" t="s">
        <v>192</v>
      </c>
      <c r="I317" t="s">
        <v>142</v>
      </c>
    </row>
    <row r="318" spans="1:9">
      <c r="A318" s="63" t="s">
        <v>578</v>
      </c>
      <c r="B318" s="61" t="s">
        <v>600</v>
      </c>
      <c r="H318" t="s">
        <v>424</v>
      </c>
      <c r="I318" t="s">
        <v>425</v>
      </c>
    </row>
    <row r="319" spans="1:9">
      <c r="A319" s="63" t="s">
        <v>553</v>
      </c>
      <c r="B319" s="61">
        <v>50544</v>
      </c>
      <c r="H319" t="s">
        <v>424</v>
      </c>
      <c r="I319" t="s">
        <v>426</v>
      </c>
    </row>
    <row r="320" spans="1:9">
      <c r="A320" s="63" t="s">
        <v>579</v>
      </c>
      <c r="B320" s="61" t="s">
        <v>600</v>
      </c>
      <c r="H320" t="s">
        <v>424</v>
      </c>
      <c r="I320" t="s">
        <v>427</v>
      </c>
    </row>
    <row r="321" spans="1:9">
      <c r="A321" s="63" t="s">
        <v>121</v>
      </c>
      <c r="B321" s="61">
        <v>49321</v>
      </c>
      <c r="H321" t="s">
        <v>424</v>
      </c>
      <c r="I321" t="s">
        <v>428</v>
      </c>
    </row>
    <row r="322" spans="1:9">
      <c r="A322" s="63" t="s">
        <v>122</v>
      </c>
      <c r="B322" s="61">
        <v>45990</v>
      </c>
      <c r="H322" t="s">
        <v>424</v>
      </c>
      <c r="I322" t="s">
        <v>429</v>
      </c>
    </row>
    <row r="323" spans="1:9">
      <c r="A323" s="63" t="s">
        <v>123</v>
      </c>
      <c r="B323" s="61">
        <v>46050</v>
      </c>
      <c r="H323" t="s">
        <v>424</v>
      </c>
      <c r="I323" t="s">
        <v>430</v>
      </c>
    </row>
    <row r="324" spans="1:9">
      <c r="A324" s="63" t="s">
        <v>124</v>
      </c>
      <c r="B324" s="61">
        <v>45110</v>
      </c>
      <c r="H324" t="s">
        <v>424</v>
      </c>
      <c r="I324" t="s">
        <v>431</v>
      </c>
    </row>
    <row r="325" spans="1:9">
      <c r="A325" s="63" t="s">
        <v>250</v>
      </c>
      <c r="B325" s="61">
        <v>57300</v>
      </c>
      <c r="H325" t="s">
        <v>424</v>
      </c>
      <c r="I325" t="s">
        <v>432</v>
      </c>
    </row>
    <row r="326" spans="1:9">
      <c r="A326" s="63" t="s">
        <v>221</v>
      </c>
      <c r="B326" s="61" t="s">
        <v>600</v>
      </c>
      <c r="H326" t="s">
        <v>424</v>
      </c>
      <c r="I326" t="s">
        <v>433</v>
      </c>
    </row>
    <row r="327" spans="1:9">
      <c r="A327" s="63" t="s">
        <v>181</v>
      </c>
      <c r="B327" s="61">
        <v>37193</v>
      </c>
      <c r="H327" t="s">
        <v>424</v>
      </c>
      <c r="I327" t="s">
        <v>435</v>
      </c>
    </row>
    <row r="328" spans="1:9">
      <c r="A328" s="63" t="s">
        <v>271</v>
      </c>
      <c r="B328" s="61">
        <v>20680</v>
      </c>
      <c r="H328" t="s">
        <v>424</v>
      </c>
      <c r="I328" t="s">
        <v>434</v>
      </c>
    </row>
    <row r="329" spans="1:9">
      <c r="A329" s="63" t="s">
        <v>451</v>
      </c>
      <c r="B329" s="61">
        <v>64570</v>
      </c>
      <c r="H329" t="s">
        <v>424</v>
      </c>
      <c r="I329" t="s">
        <v>436</v>
      </c>
    </row>
    <row r="330" spans="1:9">
      <c r="A330" s="63" t="s">
        <v>452</v>
      </c>
      <c r="B330" s="61" t="s">
        <v>600</v>
      </c>
      <c r="H330" t="s">
        <v>424</v>
      </c>
      <c r="I330" t="s">
        <v>437</v>
      </c>
    </row>
    <row r="331" spans="1:9">
      <c r="A331" s="63" t="s">
        <v>580</v>
      </c>
      <c r="B331" s="61" t="s">
        <v>600</v>
      </c>
      <c r="H331" t="s">
        <v>424</v>
      </c>
      <c r="I331" t="s">
        <v>438</v>
      </c>
    </row>
    <row r="332" spans="1:9">
      <c r="A332" s="63" t="s">
        <v>182</v>
      </c>
      <c r="B332" s="61" t="s">
        <v>600</v>
      </c>
      <c r="H332" t="s">
        <v>424</v>
      </c>
      <c r="I332" t="s">
        <v>439</v>
      </c>
    </row>
    <row r="333" spans="1:9">
      <c r="A333" s="63" t="s">
        <v>183</v>
      </c>
      <c r="B333" s="61">
        <v>21615</v>
      </c>
      <c r="H333" t="s">
        <v>424</v>
      </c>
      <c r="I333" t="s">
        <v>440</v>
      </c>
    </row>
    <row r="334" spans="1:9">
      <c r="A334" s="63" t="s">
        <v>184</v>
      </c>
      <c r="B334" s="61" t="s">
        <v>471</v>
      </c>
      <c r="H334" t="s">
        <v>424</v>
      </c>
      <c r="I334" t="s">
        <v>441</v>
      </c>
    </row>
    <row r="335" spans="1:9">
      <c r="A335" s="63" t="s">
        <v>272</v>
      </c>
      <c r="B335" s="61">
        <v>38520</v>
      </c>
      <c r="H335" t="s">
        <v>424</v>
      </c>
      <c r="I335" t="s">
        <v>442</v>
      </c>
    </row>
    <row r="336" spans="1:9">
      <c r="A336" s="63" t="s">
        <v>554</v>
      </c>
      <c r="B336" s="61" t="s">
        <v>600</v>
      </c>
      <c r="H336" t="s">
        <v>424</v>
      </c>
      <c r="I336" t="s">
        <v>444</v>
      </c>
    </row>
    <row r="337" spans="1:9">
      <c r="A337" s="63" t="s">
        <v>125</v>
      </c>
      <c r="B337" s="61">
        <v>44204</v>
      </c>
      <c r="H337" t="s">
        <v>424</v>
      </c>
      <c r="I337" t="s">
        <v>443</v>
      </c>
    </row>
    <row r="338" spans="1:9">
      <c r="A338" s="63" t="s">
        <v>126</v>
      </c>
      <c r="B338" s="61" t="s">
        <v>600</v>
      </c>
      <c r="H338" t="s">
        <v>424</v>
      </c>
      <c r="I338" t="s">
        <v>445</v>
      </c>
    </row>
    <row r="339" spans="1:9">
      <c r="A339" s="63" t="s">
        <v>453</v>
      </c>
      <c r="B339" s="61" t="s">
        <v>600</v>
      </c>
      <c r="H339" t="s">
        <v>424</v>
      </c>
      <c r="I339" t="s">
        <v>446</v>
      </c>
    </row>
    <row r="340" spans="1:9">
      <c r="A340" s="63" t="s">
        <v>127</v>
      </c>
      <c r="B340" s="61">
        <v>44120</v>
      </c>
      <c r="H340" t="s">
        <v>424</v>
      </c>
      <c r="I340" t="s">
        <v>447</v>
      </c>
    </row>
    <row r="341" spans="1:9">
      <c r="A341" s="63" t="s">
        <v>555</v>
      </c>
      <c r="B341" s="61" t="s">
        <v>600</v>
      </c>
      <c r="H341" t="s">
        <v>424</v>
      </c>
      <c r="I341" t="s">
        <v>448</v>
      </c>
    </row>
    <row r="342" spans="1:9">
      <c r="A342" s="63" t="s">
        <v>128</v>
      </c>
      <c r="B342" s="61">
        <v>38100</v>
      </c>
      <c r="H342" t="s">
        <v>424</v>
      </c>
      <c r="I342" t="s">
        <v>449</v>
      </c>
    </row>
    <row r="343" spans="1:9">
      <c r="A343" s="63" t="s">
        <v>129</v>
      </c>
      <c r="B343" s="61">
        <v>38120</v>
      </c>
      <c r="H343" t="s">
        <v>424</v>
      </c>
      <c r="I343" t="s">
        <v>450</v>
      </c>
    </row>
    <row r="344" spans="1:9">
      <c r="A344" s="63" t="s">
        <v>211</v>
      </c>
      <c r="B344" s="61">
        <v>21750</v>
      </c>
      <c r="H344" t="s">
        <v>424</v>
      </c>
      <c r="I344" t="s">
        <v>451</v>
      </c>
    </row>
    <row r="345" spans="1:9">
      <c r="A345" s="63" t="s">
        <v>212</v>
      </c>
      <c r="B345" s="61">
        <v>21750</v>
      </c>
      <c r="H345" t="s">
        <v>424</v>
      </c>
      <c r="I345" t="s">
        <v>452</v>
      </c>
    </row>
    <row r="346" spans="1:9">
      <c r="A346" s="63" t="s">
        <v>185</v>
      </c>
      <c r="B346" s="61">
        <v>35301</v>
      </c>
      <c r="H346" t="s">
        <v>424</v>
      </c>
      <c r="I346" t="s">
        <v>453</v>
      </c>
    </row>
    <row r="347" spans="1:9">
      <c r="A347" s="63" t="s">
        <v>130</v>
      </c>
      <c r="B347" s="61">
        <v>38500</v>
      </c>
      <c r="H347" t="s">
        <v>424</v>
      </c>
      <c r="I347" t="s">
        <v>454</v>
      </c>
    </row>
    <row r="348" spans="1:9">
      <c r="A348" s="63" t="s">
        <v>454</v>
      </c>
      <c r="B348" s="61" t="s">
        <v>600</v>
      </c>
      <c r="H348" t="s">
        <v>424</v>
      </c>
      <c r="I348" t="s">
        <v>455</v>
      </c>
    </row>
    <row r="349" spans="1:9">
      <c r="A349" s="63" t="s">
        <v>455</v>
      </c>
      <c r="B349" s="61" t="s">
        <v>600</v>
      </c>
      <c r="H349" t="s">
        <v>424</v>
      </c>
      <c r="I349" t="s">
        <v>131</v>
      </c>
    </row>
    <row r="350" spans="1:9">
      <c r="A350" s="63" t="s">
        <v>495</v>
      </c>
      <c r="B350" s="61" t="s">
        <v>600</v>
      </c>
      <c r="H350" t="s">
        <v>424</v>
      </c>
      <c r="I350" t="s">
        <v>456</v>
      </c>
    </row>
    <row r="351" spans="1:9">
      <c r="A351" s="63" t="s">
        <v>131</v>
      </c>
      <c r="B351" s="61">
        <v>37609</v>
      </c>
      <c r="H351" t="s">
        <v>424</v>
      </c>
      <c r="I351" t="s">
        <v>457</v>
      </c>
    </row>
    <row r="352" spans="1:9">
      <c r="A352" s="63" t="s">
        <v>556</v>
      </c>
      <c r="B352" s="61">
        <v>51992</v>
      </c>
      <c r="H352" t="s">
        <v>424</v>
      </c>
      <c r="I352" t="s">
        <v>235</v>
      </c>
    </row>
    <row r="353" spans="1:9">
      <c r="A353" s="63" t="s">
        <v>456</v>
      </c>
      <c r="B353" s="61" t="s">
        <v>600</v>
      </c>
      <c r="H353" t="s">
        <v>424</v>
      </c>
      <c r="I353" t="s">
        <v>458</v>
      </c>
    </row>
    <row r="354" spans="1:9">
      <c r="A354" s="63" t="s">
        <v>457</v>
      </c>
      <c r="B354" s="61" t="s">
        <v>600</v>
      </c>
      <c r="H354" t="s">
        <v>424</v>
      </c>
      <c r="I354" t="s">
        <v>459</v>
      </c>
    </row>
    <row r="355" spans="1:9">
      <c r="A355" s="63" t="s">
        <v>235</v>
      </c>
      <c r="B355" s="61" t="s">
        <v>600</v>
      </c>
      <c r="H355" t="s">
        <v>424</v>
      </c>
      <c r="I355" t="s">
        <v>460</v>
      </c>
    </row>
    <row r="356" spans="1:9">
      <c r="A356" s="63" t="s">
        <v>458</v>
      </c>
      <c r="B356" s="64" t="s">
        <v>600</v>
      </c>
      <c r="H356" t="s">
        <v>424</v>
      </c>
      <c r="I356" t="s">
        <v>461</v>
      </c>
    </row>
    <row r="357" spans="1:9">
      <c r="A357" s="63" t="s">
        <v>132</v>
      </c>
      <c r="B357" s="61">
        <v>32601</v>
      </c>
      <c r="H357" t="s">
        <v>424</v>
      </c>
      <c r="I357" t="s">
        <v>462</v>
      </c>
    </row>
    <row r="358" spans="1:9">
      <c r="A358" s="63" t="s">
        <v>273</v>
      </c>
      <c r="B358" s="61">
        <v>32652</v>
      </c>
      <c r="H358" t="s">
        <v>424</v>
      </c>
      <c r="I358" t="s">
        <v>463</v>
      </c>
    </row>
    <row r="359" spans="1:9">
      <c r="A359" s="63" t="s">
        <v>274</v>
      </c>
      <c r="B359" s="61">
        <v>32652</v>
      </c>
      <c r="H359" t="s">
        <v>424</v>
      </c>
      <c r="I359" t="s">
        <v>464</v>
      </c>
    </row>
    <row r="360" spans="1:9">
      <c r="A360" s="63" t="s">
        <v>228</v>
      </c>
      <c r="B360" s="61" t="s">
        <v>600</v>
      </c>
      <c r="H360" t="s">
        <v>424</v>
      </c>
      <c r="I360" t="s">
        <v>465</v>
      </c>
    </row>
    <row r="361" spans="1:9">
      <c r="A361" s="63" t="s">
        <v>275</v>
      </c>
      <c r="B361" s="61">
        <v>32220</v>
      </c>
      <c r="H361" t="s">
        <v>213</v>
      </c>
      <c r="I361" t="s">
        <v>39</v>
      </c>
    </row>
    <row r="362" spans="1:9">
      <c r="A362" s="63" t="s">
        <v>276</v>
      </c>
      <c r="B362" s="61">
        <v>60520</v>
      </c>
      <c r="H362" t="s">
        <v>213</v>
      </c>
      <c r="I362" t="s">
        <v>40</v>
      </c>
    </row>
    <row r="363" spans="1:9">
      <c r="A363" s="63" t="s">
        <v>133</v>
      </c>
      <c r="B363" s="61">
        <v>60220</v>
      </c>
      <c r="H363" t="s">
        <v>213</v>
      </c>
      <c r="I363" t="s">
        <v>41</v>
      </c>
    </row>
    <row r="364" spans="1:9">
      <c r="A364" s="63" t="s">
        <v>186</v>
      </c>
      <c r="B364" s="61" t="s">
        <v>600</v>
      </c>
      <c r="H364" t="s">
        <v>213</v>
      </c>
      <c r="I364" t="s">
        <v>42</v>
      </c>
    </row>
    <row r="365" spans="1:9">
      <c r="A365" s="63" t="s">
        <v>496</v>
      </c>
      <c r="B365" s="61" t="s">
        <v>600</v>
      </c>
      <c r="H365" t="s">
        <v>213</v>
      </c>
      <c r="I365" t="s">
        <v>43</v>
      </c>
    </row>
    <row r="366" spans="1:9">
      <c r="A366" s="63" t="s">
        <v>497</v>
      </c>
      <c r="B366" s="61" t="s">
        <v>600</v>
      </c>
      <c r="H366" t="s">
        <v>213</v>
      </c>
      <c r="I366" t="s">
        <v>44</v>
      </c>
    </row>
    <row r="367" spans="1:9">
      <c r="A367" s="63" t="s">
        <v>251</v>
      </c>
      <c r="B367" s="61">
        <v>31781</v>
      </c>
      <c r="H367" t="s">
        <v>213</v>
      </c>
      <c r="I367" t="s">
        <v>45</v>
      </c>
    </row>
    <row r="368" spans="1:9">
      <c r="A368" s="63" t="s">
        <v>134</v>
      </c>
      <c r="B368" s="61">
        <v>31603</v>
      </c>
      <c r="H368" t="s">
        <v>213</v>
      </c>
      <c r="I368" t="s">
        <v>30</v>
      </c>
    </row>
    <row r="369" spans="1:9">
      <c r="A369" s="63" t="s">
        <v>187</v>
      </c>
      <c r="B369" s="61">
        <v>28805</v>
      </c>
      <c r="H369" t="s">
        <v>213</v>
      </c>
      <c r="I369" t="s">
        <v>31</v>
      </c>
    </row>
    <row r="370" spans="1:9">
      <c r="A370" s="63" t="s">
        <v>459</v>
      </c>
      <c r="B370" s="61" t="s">
        <v>600</v>
      </c>
      <c r="H370" t="s">
        <v>213</v>
      </c>
      <c r="I370" t="s">
        <v>32</v>
      </c>
    </row>
    <row r="371" spans="1:9">
      <c r="A371" s="63" t="s">
        <v>460</v>
      </c>
      <c r="B371" s="61" t="s">
        <v>600</v>
      </c>
      <c r="H371" t="s">
        <v>213</v>
      </c>
      <c r="I371" t="s">
        <v>214</v>
      </c>
    </row>
    <row r="372" spans="1:9">
      <c r="A372" s="63" t="s">
        <v>557</v>
      </c>
      <c r="B372" s="61" t="s">
        <v>600</v>
      </c>
      <c r="H372" t="s">
        <v>213</v>
      </c>
      <c r="I372" t="s">
        <v>33</v>
      </c>
    </row>
    <row r="373" spans="1:9">
      <c r="A373" s="63" t="s">
        <v>461</v>
      </c>
      <c r="B373" s="61" t="s">
        <v>600</v>
      </c>
      <c r="H373" t="s">
        <v>213</v>
      </c>
      <c r="I373" t="s">
        <v>46</v>
      </c>
    </row>
    <row r="374" spans="1:9">
      <c r="A374" s="63" t="s">
        <v>462</v>
      </c>
      <c r="B374" s="73" t="s">
        <v>600</v>
      </c>
      <c r="H374" t="s">
        <v>213</v>
      </c>
      <c r="I374" t="s">
        <v>47</v>
      </c>
    </row>
    <row r="375" spans="1:9">
      <c r="A375" s="63" t="s">
        <v>135</v>
      </c>
      <c r="B375" s="61">
        <v>49585</v>
      </c>
      <c r="H375" t="s">
        <v>213</v>
      </c>
      <c r="I375" t="s">
        <v>48</v>
      </c>
    </row>
    <row r="376" spans="1:9">
      <c r="A376" s="63" t="s">
        <v>136</v>
      </c>
      <c r="B376" s="61">
        <v>49652</v>
      </c>
      <c r="H376" t="s">
        <v>213</v>
      </c>
      <c r="I376" t="s">
        <v>49</v>
      </c>
    </row>
    <row r="377" spans="1:9">
      <c r="A377" s="63" t="s">
        <v>188</v>
      </c>
      <c r="B377" s="61" t="s">
        <v>600</v>
      </c>
      <c r="H377" t="s">
        <v>213</v>
      </c>
      <c r="I377" t="s">
        <v>52</v>
      </c>
    </row>
    <row r="378" spans="1:9">
      <c r="A378" s="63" t="s">
        <v>189</v>
      </c>
      <c r="B378" s="61" t="s">
        <v>600</v>
      </c>
      <c r="H378" t="s">
        <v>213</v>
      </c>
      <c r="I378" t="s">
        <v>53</v>
      </c>
    </row>
    <row r="379" spans="1:9">
      <c r="A379" s="63" t="s">
        <v>558</v>
      </c>
      <c r="B379" s="61" t="s">
        <v>600</v>
      </c>
      <c r="H379" t="s">
        <v>213</v>
      </c>
      <c r="I379" t="s">
        <v>54</v>
      </c>
    </row>
    <row r="380" spans="1:9">
      <c r="A380" s="63" t="s">
        <v>569</v>
      </c>
      <c r="B380" s="61" t="s">
        <v>600</v>
      </c>
      <c r="H380" t="s">
        <v>213</v>
      </c>
      <c r="I380" t="s">
        <v>55</v>
      </c>
    </row>
    <row r="381" spans="1:9">
      <c r="A381" s="63" t="s">
        <v>559</v>
      </c>
      <c r="B381" s="61" t="s">
        <v>600</v>
      </c>
      <c r="H381" t="s">
        <v>213</v>
      </c>
      <c r="I381" t="s">
        <v>57</v>
      </c>
    </row>
    <row r="382" spans="1:9">
      <c r="A382" s="63" t="s">
        <v>594</v>
      </c>
      <c r="B382" s="61">
        <v>53230</v>
      </c>
      <c r="H382" t="s">
        <v>213</v>
      </c>
      <c r="I382" t="s">
        <v>58</v>
      </c>
    </row>
    <row r="383" spans="1:9">
      <c r="A383" s="63" t="s">
        <v>593</v>
      </c>
      <c r="B383" s="61">
        <v>53235</v>
      </c>
      <c r="H383" t="s">
        <v>213</v>
      </c>
      <c r="I383" t="s">
        <v>59</v>
      </c>
    </row>
    <row r="384" spans="1:9">
      <c r="A384" s="63" t="s">
        <v>596</v>
      </c>
      <c r="B384" s="61">
        <v>56501</v>
      </c>
      <c r="H384" t="s">
        <v>213</v>
      </c>
      <c r="I384" t="s">
        <v>60</v>
      </c>
    </row>
    <row r="385" spans="1:9">
      <c r="A385" s="63" t="s">
        <v>595</v>
      </c>
      <c r="B385" s="61">
        <v>54056</v>
      </c>
      <c r="H385" t="s">
        <v>213</v>
      </c>
      <c r="I385" t="s">
        <v>195</v>
      </c>
    </row>
    <row r="386" spans="1:9">
      <c r="A386" s="63" t="s">
        <v>560</v>
      </c>
      <c r="B386" s="61">
        <v>51840</v>
      </c>
      <c r="H386" t="s">
        <v>213</v>
      </c>
      <c r="I386" t="s">
        <v>215</v>
      </c>
    </row>
    <row r="387" spans="1:9">
      <c r="A387" s="63" t="s">
        <v>581</v>
      </c>
      <c r="B387" s="61" t="s">
        <v>600</v>
      </c>
      <c r="H387" t="s">
        <v>213</v>
      </c>
      <c r="I387" t="s">
        <v>61</v>
      </c>
    </row>
    <row r="388" spans="1:9">
      <c r="A388" s="63" t="s">
        <v>672</v>
      </c>
      <c r="B388" s="48" t="s">
        <v>600</v>
      </c>
      <c r="H388" t="s">
        <v>213</v>
      </c>
      <c r="I388" t="s">
        <v>216</v>
      </c>
    </row>
    <row r="389" spans="1:9">
      <c r="A389" s="63" t="s">
        <v>219</v>
      </c>
      <c r="B389" s="61">
        <v>57421</v>
      </c>
      <c r="H389" t="s">
        <v>213</v>
      </c>
      <c r="I389" t="s">
        <v>63</v>
      </c>
    </row>
    <row r="390" spans="1:9">
      <c r="A390" s="63" t="s">
        <v>562</v>
      </c>
      <c r="B390" s="61">
        <v>51990</v>
      </c>
      <c r="H390" t="s">
        <v>213</v>
      </c>
      <c r="I390" t="s">
        <v>66</v>
      </c>
    </row>
    <row r="391" spans="1:9">
      <c r="A391" s="63" t="s">
        <v>561</v>
      </c>
      <c r="B391" s="61">
        <v>53442</v>
      </c>
      <c r="H391" t="s">
        <v>213</v>
      </c>
      <c r="I391" t="s">
        <v>68</v>
      </c>
    </row>
    <row r="392" spans="1:9">
      <c r="A392" s="63" t="s">
        <v>284</v>
      </c>
      <c r="B392" s="61" t="s">
        <v>600</v>
      </c>
      <c r="H392" t="s">
        <v>213</v>
      </c>
      <c r="I392" t="s">
        <v>69</v>
      </c>
    </row>
    <row r="393" spans="1:9">
      <c r="A393" s="63" t="s">
        <v>563</v>
      </c>
      <c r="B393" s="61" t="s">
        <v>600</v>
      </c>
      <c r="H393" t="s">
        <v>213</v>
      </c>
      <c r="I393" t="s">
        <v>70</v>
      </c>
    </row>
    <row r="394" spans="1:9">
      <c r="A394" s="63" t="s">
        <v>463</v>
      </c>
      <c r="B394" s="61" t="s">
        <v>600</v>
      </c>
      <c r="H394" t="s">
        <v>213</v>
      </c>
      <c r="I394" t="s">
        <v>71</v>
      </c>
    </row>
    <row r="395" spans="1:9">
      <c r="A395" s="63" t="s">
        <v>661</v>
      </c>
      <c r="B395" s="143" t="s">
        <v>600</v>
      </c>
      <c r="H395" t="s">
        <v>213</v>
      </c>
      <c r="I395" t="s">
        <v>73</v>
      </c>
    </row>
    <row r="396" spans="1:9">
      <c r="A396" s="63" t="s">
        <v>190</v>
      </c>
      <c r="B396" s="61" t="s">
        <v>600</v>
      </c>
      <c r="H396" t="s">
        <v>213</v>
      </c>
      <c r="I396" t="s">
        <v>75</v>
      </c>
    </row>
    <row r="397" spans="1:9">
      <c r="A397" s="63" t="s">
        <v>137</v>
      </c>
      <c r="B397" s="61">
        <v>49560</v>
      </c>
      <c r="H397" t="s">
        <v>213</v>
      </c>
      <c r="I397" t="s">
        <v>203</v>
      </c>
    </row>
    <row r="398" spans="1:9">
      <c r="A398" s="63" t="s">
        <v>138</v>
      </c>
      <c r="B398" s="61">
        <v>49652</v>
      </c>
      <c r="H398" t="s">
        <v>213</v>
      </c>
      <c r="I398" t="s">
        <v>76</v>
      </c>
    </row>
    <row r="399" spans="1:9">
      <c r="A399" s="63" t="s">
        <v>139</v>
      </c>
      <c r="B399" s="61">
        <v>49568</v>
      </c>
      <c r="H399" t="s">
        <v>213</v>
      </c>
      <c r="I399" t="s">
        <v>77</v>
      </c>
    </row>
    <row r="400" spans="1:9">
      <c r="A400" s="63" t="s">
        <v>464</v>
      </c>
      <c r="B400" s="61" t="s">
        <v>600</v>
      </c>
      <c r="H400" t="s">
        <v>213</v>
      </c>
      <c r="I400" t="s">
        <v>207</v>
      </c>
    </row>
    <row r="401" spans="1:9">
      <c r="A401" s="63" t="s">
        <v>465</v>
      </c>
      <c r="B401" s="48" t="s">
        <v>600</v>
      </c>
      <c r="H401" t="s">
        <v>213</v>
      </c>
      <c r="I401" t="s">
        <v>78</v>
      </c>
    </row>
    <row r="402" spans="1:9">
      <c r="A402" s="63" t="s">
        <v>564</v>
      </c>
      <c r="B402" s="61" t="s">
        <v>600</v>
      </c>
      <c r="H402" t="s">
        <v>213</v>
      </c>
      <c r="I402" t="s">
        <v>80</v>
      </c>
    </row>
    <row r="403" spans="1:9">
      <c r="A403" s="63" t="s">
        <v>565</v>
      </c>
      <c r="B403" s="61" t="s">
        <v>600</v>
      </c>
      <c r="H403" t="s">
        <v>213</v>
      </c>
      <c r="I403" t="s">
        <v>83</v>
      </c>
    </row>
    <row r="404" spans="1:9">
      <c r="A404" s="63" t="s">
        <v>597</v>
      </c>
      <c r="B404" s="61" t="s">
        <v>600</v>
      </c>
      <c r="H404" t="s">
        <v>213</v>
      </c>
      <c r="I404" t="s">
        <v>217</v>
      </c>
    </row>
    <row r="405" spans="1:9">
      <c r="A405" s="148"/>
      <c r="B405" s="147"/>
      <c r="H405" t="s">
        <v>213</v>
      </c>
      <c r="I405" t="s">
        <v>84</v>
      </c>
    </row>
    <row r="406" spans="1:9">
      <c r="A406" s="148"/>
      <c r="B406" s="147"/>
      <c r="H406" t="s">
        <v>213</v>
      </c>
      <c r="I406" t="s">
        <v>85</v>
      </c>
    </row>
    <row r="407" spans="1:9">
      <c r="A407" s="142"/>
      <c r="B407" s="48"/>
      <c r="H407" t="s">
        <v>213</v>
      </c>
      <c r="I407" t="s">
        <v>86</v>
      </c>
    </row>
    <row r="408" spans="1:9">
      <c r="A408" s="142"/>
      <c r="B408" s="48"/>
      <c r="H408" t="s">
        <v>213</v>
      </c>
      <c r="I408" t="s">
        <v>87</v>
      </c>
    </row>
    <row r="409" spans="1:9">
      <c r="A409" s="142"/>
      <c r="B409" s="48"/>
      <c r="H409" t="s">
        <v>213</v>
      </c>
      <c r="I409" t="s">
        <v>88</v>
      </c>
    </row>
    <row r="410" spans="1:9">
      <c r="A410" s="142"/>
      <c r="B410" s="48"/>
      <c r="H410" t="s">
        <v>213</v>
      </c>
      <c r="I410" t="s">
        <v>90</v>
      </c>
    </row>
    <row r="411" spans="1:9">
      <c r="A411" s="142"/>
      <c r="B411" s="48"/>
      <c r="H411" t="s">
        <v>213</v>
      </c>
      <c r="I411" t="s">
        <v>91</v>
      </c>
    </row>
    <row r="412" spans="1:9">
      <c r="A412" s="142"/>
      <c r="B412" s="48"/>
      <c r="H412" t="s">
        <v>213</v>
      </c>
      <c r="I412" t="s">
        <v>92</v>
      </c>
    </row>
    <row r="413" spans="1:9">
      <c r="A413" s="142"/>
      <c r="B413" s="48"/>
      <c r="H413" t="s">
        <v>213</v>
      </c>
      <c r="I413" t="s">
        <v>93</v>
      </c>
    </row>
    <row r="414" spans="1:9">
      <c r="A414" s="146"/>
      <c r="B414" s="147"/>
      <c r="H414" t="s">
        <v>213</v>
      </c>
      <c r="I414" t="s">
        <v>94</v>
      </c>
    </row>
    <row r="415" spans="1:9">
      <c r="A415" s="146"/>
      <c r="B415" s="147"/>
      <c r="H415" t="s">
        <v>213</v>
      </c>
      <c r="I415" t="s">
        <v>95</v>
      </c>
    </row>
    <row r="416" spans="1:9">
      <c r="A416" s="146"/>
      <c r="B416" s="147"/>
      <c r="H416" t="s">
        <v>213</v>
      </c>
      <c r="I416" t="s">
        <v>96</v>
      </c>
    </row>
    <row r="417" spans="8:9">
      <c r="H417" t="s">
        <v>213</v>
      </c>
      <c r="I417" t="s">
        <v>97</v>
      </c>
    </row>
    <row r="418" spans="8:9">
      <c r="H418" t="s">
        <v>213</v>
      </c>
      <c r="I418" t="s">
        <v>98</v>
      </c>
    </row>
    <row r="419" spans="8:9">
      <c r="H419" t="s">
        <v>213</v>
      </c>
      <c r="I419" t="s">
        <v>99</v>
      </c>
    </row>
    <row r="420" spans="8:9">
      <c r="H420" t="s">
        <v>213</v>
      </c>
      <c r="I420" t="s">
        <v>100</v>
      </c>
    </row>
    <row r="421" spans="8:9">
      <c r="H421" t="s">
        <v>213</v>
      </c>
      <c r="I421" t="s">
        <v>101</v>
      </c>
    </row>
    <row r="422" spans="8:9">
      <c r="H422" t="s">
        <v>213</v>
      </c>
      <c r="I422" t="s">
        <v>102</v>
      </c>
    </row>
    <row r="423" spans="8:9">
      <c r="H423" t="s">
        <v>213</v>
      </c>
      <c r="I423" t="s">
        <v>103</v>
      </c>
    </row>
    <row r="424" spans="8:9">
      <c r="H424" t="s">
        <v>213</v>
      </c>
      <c r="I424" t="s">
        <v>104</v>
      </c>
    </row>
    <row r="425" spans="8:9">
      <c r="H425" t="s">
        <v>213</v>
      </c>
      <c r="I425" t="s">
        <v>106</v>
      </c>
    </row>
    <row r="426" spans="8:9">
      <c r="H426" t="s">
        <v>213</v>
      </c>
      <c r="I426" t="s">
        <v>107</v>
      </c>
    </row>
    <row r="427" spans="8:9">
      <c r="H427" t="s">
        <v>213</v>
      </c>
      <c r="I427" t="s">
        <v>108</v>
      </c>
    </row>
    <row r="428" spans="8:9">
      <c r="H428" t="s">
        <v>213</v>
      </c>
      <c r="I428" t="s">
        <v>35</v>
      </c>
    </row>
    <row r="429" spans="8:9">
      <c r="H429" t="s">
        <v>213</v>
      </c>
      <c r="I429" t="s">
        <v>36</v>
      </c>
    </row>
    <row r="430" spans="8:9">
      <c r="H430" t="s">
        <v>213</v>
      </c>
      <c r="I430" t="s">
        <v>37</v>
      </c>
    </row>
    <row r="431" spans="8:9">
      <c r="H431" t="s">
        <v>213</v>
      </c>
      <c r="I431" t="s">
        <v>109</v>
      </c>
    </row>
    <row r="432" spans="8:9">
      <c r="H432" t="s">
        <v>213</v>
      </c>
      <c r="I432" t="s">
        <v>110</v>
      </c>
    </row>
    <row r="433" spans="8:9">
      <c r="H433" t="s">
        <v>213</v>
      </c>
      <c r="I433" t="s">
        <v>208</v>
      </c>
    </row>
    <row r="434" spans="8:9">
      <c r="H434" t="s">
        <v>213</v>
      </c>
      <c r="I434" t="s">
        <v>218</v>
      </c>
    </row>
    <row r="435" spans="8:9">
      <c r="H435" t="s">
        <v>213</v>
      </c>
      <c r="I435" t="s">
        <v>115</v>
      </c>
    </row>
    <row r="436" spans="8:9">
      <c r="H436" t="s">
        <v>213</v>
      </c>
      <c r="I436" t="s">
        <v>117</v>
      </c>
    </row>
    <row r="437" spans="8:9">
      <c r="H437" t="s">
        <v>213</v>
      </c>
      <c r="I437" t="s">
        <v>118</v>
      </c>
    </row>
    <row r="438" spans="8:9">
      <c r="H438" t="s">
        <v>213</v>
      </c>
      <c r="I438" t="s">
        <v>119</v>
      </c>
    </row>
    <row r="439" spans="8:9">
      <c r="H439" t="s">
        <v>213</v>
      </c>
      <c r="I439" t="s">
        <v>120</v>
      </c>
    </row>
    <row r="440" spans="8:9">
      <c r="H440" t="s">
        <v>213</v>
      </c>
      <c r="I440" t="s">
        <v>209</v>
      </c>
    </row>
    <row r="441" spans="8:9">
      <c r="H441" t="s">
        <v>213</v>
      </c>
      <c r="I441" t="s">
        <v>121</v>
      </c>
    </row>
    <row r="442" spans="8:9">
      <c r="H442" t="s">
        <v>213</v>
      </c>
      <c r="I442" t="s">
        <v>122</v>
      </c>
    </row>
    <row r="443" spans="8:9">
      <c r="H443" t="s">
        <v>213</v>
      </c>
      <c r="I443" t="s">
        <v>123</v>
      </c>
    </row>
    <row r="444" spans="8:9">
      <c r="H444" t="s">
        <v>213</v>
      </c>
      <c r="I444" t="s">
        <v>125</v>
      </c>
    </row>
    <row r="445" spans="8:9">
      <c r="H445" t="s">
        <v>213</v>
      </c>
      <c r="I445" t="s">
        <v>126</v>
      </c>
    </row>
    <row r="446" spans="8:9">
      <c r="H446" t="s">
        <v>213</v>
      </c>
      <c r="I446" t="s">
        <v>127</v>
      </c>
    </row>
    <row r="447" spans="8:9">
      <c r="H447" t="s">
        <v>213</v>
      </c>
      <c r="I447" t="s">
        <v>129</v>
      </c>
    </row>
    <row r="448" spans="8:9">
      <c r="H448" t="s">
        <v>213</v>
      </c>
      <c r="I448" t="s">
        <v>131</v>
      </c>
    </row>
    <row r="449" spans="8:9">
      <c r="H449" t="s">
        <v>213</v>
      </c>
      <c r="I449" t="s">
        <v>133</v>
      </c>
    </row>
    <row r="450" spans="8:9">
      <c r="H450" t="s">
        <v>213</v>
      </c>
      <c r="I450" t="s">
        <v>134</v>
      </c>
    </row>
    <row r="451" spans="8:9">
      <c r="H451" t="s">
        <v>213</v>
      </c>
      <c r="I451" t="s">
        <v>135</v>
      </c>
    </row>
    <row r="452" spans="8:9">
      <c r="H452" t="s">
        <v>213</v>
      </c>
      <c r="I452" t="s">
        <v>219</v>
      </c>
    </row>
    <row r="453" spans="8:9">
      <c r="H453" t="s">
        <v>213</v>
      </c>
      <c r="I453" t="s">
        <v>137</v>
      </c>
    </row>
    <row r="454" spans="8:9">
      <c r="H454" t="s">
        <v>213</v>
      </c>
      <c r="I454" t="s">
        <v>138</v>
      </c>
    </row>
    <row r="455" spans="8:9">
      <c r="H455" t="s">
        <v>213</v>
      </c>
      <c r="I455" t="s">
        <v>139</v>
      </c>
    </row>
    <row r="456" spans="8:9">
      <c r="H456" t="s">
        <v>213</v>
      </c>
      <c r="I456" t="s">
        <v>140</v>
      </c>
    </row>
    <row r="457" spans="8:9">
      <c r="H457" t="s">
        <v>213</v>
      </c>
      <c r="I457" t="s">
        <v>141</v>
      </c>
    </row>
    <row r="458" spans="8:9">
      <c r="H458" t="s">
        <v>220</v>
      </c>
      <c r="I458" t="s">
        <v>144</v>
      </c>
    </row>
    <row r="459" spans="8:9">
      <c r="H459" t="s">
        <v>220</v>
      </c>
      <c r="I459" t="s">
        <v>145</v>
      </c>
    </row>
    <row r="460" spans="8:9">
      <c r="H460" t="s">
        <v>220</v>
      </c>
      <c r="I460" t="s">
        <v>146</v>
      </c>
    </row>
    <row r="461" spans="8:9">
      <c r="H461" t="s">
        <v>220</v>
      </c>
      <c r="I461" t="s">
        <v>148</v>
      </c>
    </row>
    <row r="462" spans="8:9">
      <c r="H462" t="s">
        <v>220</v>
      </c>
      <c r="I462" t="s">
        <v>149</v>
      </c>
    </row>
    <row r="463" spans="8:9">
      <c r="H463" t="s">
        <v>220</v>
      </c>
      <c r="I463" t="s">
        <v>150</v>
      </c>
    </row>
    <row r="464" spans="8:9">
      <c r="H464" t="s">
        <v>220</v>
      </c>
      <c r="I464" t="s">
        <v>151</v>
      </c>
    </row>
    <row r="465" spans="8:9">
      <c r="H465" t="s">
        <v>220</v>
      </c>
      <c r="I465" t="s">
        <v>152</v>
      </c>
    </row>
    <row r="466" spans="8:9">
      <c r="H466" t="s">
        <v>220</v>
      </c>
      <c r="I466" t="s">
        <v>153</v>
      </c>
    </row>
    <row r="467" spans="8:9">
      <c r="H467" t="s">
        <v>220</v>
      </c>
      <c r="I467" t="s">
        <v>154</v>
      </c>
    </row>
    <row r="468" spans="8:9">
      <c r="H468" t="s">
        <v>220</v>
      </c>
      <c r="I468" t="s">
        <v>156</v>
      </c>
    </row>
    <row r="469" spans="8:9">
      <c r="H469" t="s">
        <v>220</v>
      </c>
      <c r="I469" t="s">
        <v>158</v>
      </c>
    </row>
    <row r="470" spans="8:9">
      <c r="H470" t="s">
        <v>220</v>
      </c>
      <c r="I470" t="s">
        <v>159</v>
      </c>
    </row>
    <row r="471" spans="8:9">
      <c r="H471" t="s">
        <v>220</v>
      </c>
      <c r="I471" t="s">
        <v>160</v>
      </c>
    </row>
    <row r="472" spans="8:9">
      <c r="H472" t="s">
        <v>220</v>
      </c>
      <c r="I472" t="s">
        <v>163</v>
      </c>
    </row>
    <row r="473" spans="8:9">
      <c r="H473" t="s">
        <v>220</v>
      </c>
      <c r="I473" t="s">
        <v>221</v>
      </c>
    </row>
    <row r="474" spans="8:9">
      <c r="H474" t="s">
        <v>220</v>
      </c>
      <c r="I474" t="s">
        <v>164</v>
      </c>
    </row>
    <row r="475" spans="8:9">
      <c r="H475" t="s">
        <v>220</v>
      </c>
      <c r="I475" t="s">
        <v>165</v>
      </c>
    </row>
    <row r="476" spans="8:9">
      <c r="H476" t="s">
        <v>220</v>
      </c>
      <c r="I476" t="s">
        <v>166</v>
      </c>
    </row>
    <row r="477" spans="8:9">
      <c r="H477" t="s">
        <v>220</v>
      </c>
      <c r="I477" t="s">
        <v>167</v>
      </c>
    </row>
    <row r="478" spans="8:9">
      <c r="H478" t="s">
        <v>220</v>
      </c>
      <c r="I478" t="s">
        <v>222</v>
      </c>
    </row>
    <row r="479" spans="8:9">
      <c r="H479" t="s">
        <v>220</v>
      </c>
      <c r="I479" t="s">
        <v>168</v>
      </c>
    </row>
    <row r="480" spans="8:9">
      <c r="H480" t="s">
        <v>220</v>
      </c>
      <c r="I480" t="s">
        <v>169</v>
      </c>
    </row>
    <row r="481" spans="8:9">
      <c r="H481" t="s">
        <v>220</v>
      </c>
      <c r="I481" t="s">
        <v>172</v>
      </c>
    </row>
    <row r="482" spans="8:9">
      <c r="H482" t="s">
        <v>220</v>
      </c>
      <c r="I482" t="s">
        <v>71</v>
      </c>
    </row>
    <row r="483" spans="8:9">
      <c r="H483" t="s">
        <v>220</v>
      </c>
      <c r="I483" t="s">
        <v>173</v>
      </c>
    </row>
    <row r="484" spans="8:9">
      <c r="H484" t="s">
        <v>220</v>
      </c>
      <c r="I484" t="s">
        <v>75</v>
      </c>
    </row>
    <row r="485" spans="8:9">
      <c r="H485" t="s">
        <v>220</v>
      </c>
      <c r="I485" t="s">
        <v>174</v>
      </c>
    </row>
    <row r="486" spans="8:9">
      <c r="H486" t="s">
        <v>220</v>
      </c>
      <c r="I486" t="s">
        <v>88</v>
      </c>
    </row>
    <row r="487" spans="8:9">
      <c r="H487" t="s">
        <v>220</v>
      </c>
      <c r="I487" t="s">
        <v>89</v>
      </c>
    </row>
    <row r="488" spans="8:9">
      <c r="H488" t="s">
        <v>220</v>
      </c>
      <c r="I488" t="s">
        <v>176</v>
      </c>
    </row>
    <row r="489" spans="8:9">
      <c r="H489" t="s">
        <v>220</v>
      </c>
      <c r="I489" t="s">
        <v>177</v>
      </c>
    </row>
    <row r="490" spans="8:9">
      <c r="H490" t="s">
        <v>220</v>
      </c>
      <c r="I490" t="s">
        <v>179</v>
      </c>
    </row>
    <row r="491" spans="8:9">
      <c r="H491" t="s">
        <v>220</v>
      </c>
      <c r="I491" t="s">
        <v>182</v>
      </c>
    </row>
    <row r="492" spans="8:9">
      <c r="H492" t="s">
        <v>220</v>
      </c>
      <c r="I492" t="s">
        <v>183</v>
      </c>
    </row>
    <row r="493" spans="8:9">
      <c r="H493" t="s">
        <v>220</v>
      </c>
      <c r="I493" t="s">
        <v>184</v>
      </c>
    </row>
    <row r="494" spans="8:9">
      <c r="H494" t="s">
        <v>220</v>
      </c>
      <c r="I494" t="s">
        <v>126</v>
      </c>
    </row>
    <row r="495" spans="8:9">
      <c r="H495" t="s">
        <v>220</v>
      </c>
      <c r="I495" t="s">
        <v>131</v>
      </c>
    </row>
    <row r="496" spans="8:9">
      <c r="H496" t="s">
        <v>220</v>
      </c>
      <c r="I496" t="s">
        <v>186</v>
      </c>
    </row>
    <row r="497" spans="8:9">
      <c r="H497" t="s">
        <v>220</v>
      </c>
      <c r="I497" t="s">
        <v>187</v>
      </c>
    </row>
    <row r="498" spans="8:9">
      <c r="H498" t="s">
        <v>220</v>
      </c>
      <c r="I498" t="s">
        <v>189</v>
      </c>
    </row>
    <row r="499" spans="8:9">
      <c r="H499" t="s">
        <v>220</v>
      </c>
      <c r="I499" t="s">
        <v>190</v>
      </c>
    </row>
    <row r="500" spans="8:9">
      <c r="H500" t="s">
        <v>223</v>
      </c>
      <c r="I500" t="s">
        <v>44</v>
      </c>
    </row>
    <row r="501" spans="8:9">
      <c r="H501" t="s">
        <v>223</v>
      </c>
      <c r="I501" t="s">
        <v>48</v>
      </c>
    </row>
    <row r="502" spans="8:9">
      <c r="H502" t="s">
        <v>223</v>
      </c>
      <c r="I502" t="s">
        <v>49</v>
      </c>
    </row>
    <row r="503" spans="8:9">
      <c r="H503" t="s">
        <v>223</v>
      </c>
      <c r="I503" t="s">
        <v>224</v>
      </c>
    </row>
    <row r="504" spans="8:9">
      <c r="H504" t="s">
        <v>223</v>
      </c>
      <c r="I504" t="s">
        <v>55</v>
      </c>
    </row>
    <row r="505" spans="8:9">
      <c r="H505" t="s">
        <v>223</v>
      </c>
      <c r="I505" t="s">
        <v>60</v>
      </c>
    </row>
    <row r="506" spans="8:9">
      <c r="H506" t="s">
        <v>223</v>
      </c>
      <c r="I506" t="s">
        <v>69</v>
      </c>
    </row>
    <row r="507" spans="8:9">
      <c r="H507" t="s">
        <v>223</v>
      </c>
      <c r="I507" t="s">
        <v>70</v>
      </c>
    </row>
    <row r="508" spans="8:9">
      <c r="H508" t="s">
        <v>223</v>
      </c>
      <c r="I508" t="s">
        <v>73</v>
      </c>
    </row>
    <row r="509" spans="8:9">
      <c r="H509" t="s">
        <v>223</v>
      </c>
      <c r="I509" t="s">
        <v>75</v>
      </c>
    </row>
    <row r="510" spans="8:9">
      <c r="H510" t="s">
        <v>223</v>
      </c>
      <c r="I510" t="s">
        <v>76</v>
      </c>
    </row>
    <row r="511" spans="8:9">
      <c r="H511" t="s">
        <v>223</v>
      </c>
      <c r="I511" t="s">
        <v>204</v>
      </c>
    </row>
    <row r="512" spans="8:9">
      <c r="H512" t="s">
        <v>223</v>
      </c>
      <c r="I512" t="s">
        <v>77</v>
      </c>
    </row>
    <row r="513" spans="8:9">
      <c r="H513" t="s">
        <v>223</v>
      </c>
      <c r="I513" t="s">
        <v>205</v>
      </c>
    </row>
    <row r="514" spans="8:9">
      <c r="H514" t="s">
        <v>223</v>
      </c>
      <c r="I514" t="s">
        <v>78</v>
      </c>
    </row>
    <row r="515" spans="8:9">
      <c r="H515" t="s">
        <v>223</v>
      </c>
      <c r="I515" t="s">
        <v>225</v>
      </c>
    </row>
    <row r="516" spans="8:9">
      <c r="H516" t="s">
        <v>223</v>
      </c>
      <c r="I516" t="s">
        <v>226</v>
      </c>
    </row>
    <row r="517" spans="8:9">
      <c r="H517" t="s">
        <v>223</v>
      </c>
      <c r="I517" t="s">
        <v>85</v>
      </c>
    </row>
    <row r="518" spans="8:9">
      <c r="H518" t="s">
        <v>223</v>
      </c>
      <c r="I518" t="s">
        <v>86</v>
      </c>
    </row>
    <row r="519" spans="8:9">
      <c r="H519" t="s">
        <v>223</v>
      </c>
      <c r="I519" t="s">
        <v>87</v>
      </c>
    </row>
    <row r="520" spans="8:9">
      <c r="H520" t="s">
        <v>223</v>
      </c>
      <c r="I520" t="s">
        <v>227</v>
      </c>
    </row>
    <row r="521" spans="8:9">
      <c r="H521" t="s">
        <v>223</v>
      </c>
      <c r="I521" t="s">
        <v>88</v>
      </c>
    </row>
    <row r="522" spans="8:9">
      <c r="H522" t="s">
        <v>223</v>
      </c>
      <c r="I522" t="s">
        <v>91</v>
      </c>
    </row>
    <row r="523" spans="8:9">
      <c r="H523" t="s">
        <v>223</v>
      </c>
      <c r="I523" t="s">
        <v>93</v>
      </c>
    </row>
    <row r="524" spans="8:9">
      <c r="H524" t="s">
        <v>223</v>
      </c>
      <c r="I524" t="s">
        <v>95</v>
      </c>
    </row>
    <row r="525" spans="8:9">
      <c r="H525" t="s">
        <v>223</v>
      </c>
      <c r="I525" t="s">
        <v>103</v>
      </c>
    </row>
    <row r="526" spans="8:9">
      <c r="H526" t="s">
        <v>223</v>
      </c>
      <c r="I526" t="s">
        <v>104</v>
      </c>
    </row>
    <row r="527" spans="8:9">
      <c r="H527" t="s">
        <v>223</v>
      </c>
      <c r="I527" t="s">
        <v>113</v>
      </c>
    </row>
    <row r="528" spans="8:9">
      <c r="H528" t="s">
        <v>223</v>
      </c>
      <c r="I528" t="s">
        <v>208</v>
      </c>
    </row>
    <row r="529" spans="8:9">
      <c r="H529" t="s">
        <v>223</v>
      </c>
      <c r="I529" t="s">
        <v>118</v>
      </c>
    </row>
    <row r="530" spans="8:9">
      <c r="H530" t="s">
        <v>223</v>
      </c>
      <c r="I530" t="s">
        <v>119</v>
      </c>
    </row>
    <row r="531" spans="8:9">
      <c r="H531" t="s">
        <v>223</v>
      </c>
      <c r="I531" t="s">
        <v>120</v>
      </c>
    </row>
    <row r="532" spans="8:9">
      <c r="H532" t="s">
        <v>223</v>
      </c>
      <c r="I532" t="s">
        <v>123</v>
      </c>
    </row>
    <row r="533" spans="8:9">
      <c r="H533" t="s">
        <v>223</v>
      </c>
      <c r="I533" t="s">
        <v>128</v>
      </c>
    </row>
    <row r="534" spans="8:9">
      <c r="H534" t="s">
        <v>223</v>
      </c>
      <c r="I534" t="s">
        <v>228</v>
      </c>
    </row>
    <row r="535" spans="8:9">
      <c r="H535" t="s">
        <v>223</v>
      </c>
      <c r="I535" t="s">
        <v>134</v>
      </c>
    </row>
    <row r="536" spans="8:9">
      <c r="H536" t="s">
        <v>229</v>
      </c>
      <c r="I536" t="s">
        <v>39</v>
      </c>
    </row>
    <row r="537" spans="8:9">
      <c r="H537" t="s">
        <v>229</v>
      </c>
      <c r="I537" t="s">
        <v>230</v>
      </c>
    </row>
    <row r="538" spans="8:9">
      <c r="H538" t="s">
        <v>229</v>
      </c>
      <c r="I538" t="s">
        <v>42</v>
      </c>
    </row>
    <row r="539" spans="8:9">
      <c r="H539" t="s">
        <v>229</v>
      </c>
      <c r="I539" t="s">
        <v>43</v>
      </c>
    </row>
    <row r="540" spans="8:9">
      <c r="H540" t="s">
        <v>229</v>
      </c>
      <c r="I540" t="s">
        <v>44</v>
      </c>
    </row>
    <row r="541" spans="8:9">
      <c r="H541" t="s">
        <v>229</v>
      </c>
      <c r="I541" t="s">
        <v>45</v>
      </c>
    </row>
    <row r="542" spans="8:9">
      <c r="H542" t="s">
        <v>229</v>
      </c>
      <c r="I542" t="s">
        <v>30</v>
      </c>
    </row>
    <row r="543" spans="8:9">
      <c r="H543" t="s">
        <v>229</v>
      </c>
      <c r="I543" t="s">
        <v>231</v>
      </c>
    </row>
    <row r="544" spans="8:9">
      <c r="H544" t="s">
        <v>229</v>
      </c>
      <c r="I544" t="s">
        <v>47</v>
      </c>
    </row>
    <row r="545" spans="8:9">
      <c r="H545" t="s">
        <v>229</v>
      </c>
      <c r="I545" t="s">
        <v>48</v>
      </c>
    </row>
    <row r="546" spans="8:9">
      <c r="H546" t="s">
        <v>229</v>
      </c>
      <c r="I546" t="s">
        <v>49</v>
      </c>
    </row>
    <row r="547" spans="8:9">
      <c r="H547" t="s">
        <v>229</v>
      </c>
      <c r="I547" t="s">
        <v>52</v>
      </c>
    </row>
    <row r="548" spans="8:9">
      <c r="H548" t="s">
        <v>229</v>
      </c>
      <c r="I548" t="s">
        <v>53</v>
      </c>
    </row>
    <row r="549" spans="8:9">
      <c r="H549" t="s">
        <v>229</v>
      </c>
      <c r="I549" t="s">
        <v>57</v>
      </c>
    </row>
    <row r="550" spans="8:9">
      <c r="H550" t="s">
        <v>229</v>
      </c>
      <c r="I550" t="s">
        <v>60</v>
      </c>
    </row>
    <row r="551" spans="8:9">
      <c r="H551" t="s">
        <v>229</v>
      </c>
      <c r="I551" t="s">
        <v>232</v>
      </c>
    </row>
    <row r="552" spans="8:9">
      <c r="H552" t="s">
        <v>229</v>
      </c>
      <c r="I552" t="s">
        <v>61</v>
      </c>
    </row>
    <row r="553" spans="8:9">
      <c r="H553" t="s">
        <v>229</v>
      </c>
      <c r="I553" t="s">
        <v>197</v>
      </c>
    </row>
    <row r="554" spans="8:9">
      <c r="H554" t="s">
        <v>229</v>
      </c>
      <c r="I554" t="s">
        <v>68</v>
      </c>
    </row>
    <row r="555" spans="8:9">
      <c r="H555" t="s">
        <v>229</v>
      </c>
      <c r="I555" t="s">
        <v>69</v>
      </c>
    </row>
    <row r="556" spans="8:9">
      <c r="H556" t="s">
        <v>229</v>
      </c>
      <c r="I556" t="s">
        <v>70</v>
      </c>
    </row>
    <row r="557" spans="8:9">
      <c r="H557" t="s">
        <v>229</v>
      </c>
      <c r="I557" t="s">
        <v>73</v>
      </c>
    </row>
    <row r="558" spans="8:9">
      <c r="H558" t="s">
        <v>229</v>
      </c>
      <c r="I558" t="s">
        <v>75</v>
      </c>
    </row>
    <row r="559" spans="8:9">
      <c r="H559" t="s">
        <v>229</v>
      </c>
      <c r="I559" t="s">
        <v>77</v>
      </c>
    </row>
    <row r="560" spans="8:9">
      <c r="H560" t="s">
        <v>229</v>
      </c>
      <c r="I560" t="s">
        <v>78</v>
      </c>
    </row>
    <row r="561" spans="8:9">
      <c r="H561" t="s">
        <v>229</v>
      </c>
      <c r="I561" t="s">
        <v>79</v>
      </c>
    </row>
    <row r="562" spans="8:9">
      <c r="H562" t="s">
        <v>229</v>
      </c>
      <c r="I562" t="s">
        <v>80</v>
      </c>
    </row>
    <row r="563" spans="8:9">
      <c r="H563" t="s">
        <v>229</v>
      </c>
      <c r="I563" t="s">
        <v>233</v>
      </c>
    </row>
    <row r="564" spans="8:9">
      <c r="H564" t="s">
        <v>229</v>
      </c>
      <c r="I564" t="s">
        <v>225</v>
      </c>
    </row>
    <row r="565" spans="8:9">
      <c r="H565" t="s">
        <v>229</v>
      </c>
      <c r="I565" t="s">
        <v>234</v>
      </c>
    </row>
    <row r="566" spans="8:9">
      <c r="H566" t="s">
        <v>229</v>
      </c>
      <c r="I566" t="s">
        <v>85</v>
      </c>
    </row>
    <row r="567" spans="8:9">
      <c r="H567" t="s">
        <v>229</v>
      </c>
      <c r="I567" t="s">
        <v>85</v>
      </c>
    </row>
    <row r="568" spans="8:9">
      <c r="H568" t="s">
        <v>229</v>
      </c>
      <c r="I568" t="s">
        <v>86</v>
      </c>
    </row>
    <row r="569" spans="8:9">
      <c r="H569" t="s">
        <v>229</v>
      </c>
      <c r="I569" t="s">
        <v>87</v>
      </c>
    </row>
    <row r="570" spans="8:9">
      <c r="H570" t="s">
        <v>229</v>
      </c>
      <c r="I570" t="s">
        <v>88</v>
      </c>
    </row>
    <row r="571" spans="8:9">
      <c r="H571" t="s">
        <v>229</v>
      </c>
      <c r="I571" t="s">
        <v>89</v>
      </c>
    </row>
    <row r="572" spans="8:9">
      <c r="H572" t="s">
        <v>229</v>
      </c>
      <c r="I572" t="s">
        <v>92</v>
      </c>
    </row>
    <row r="573" spans="8:9">
      <c r="H573" t="s">
        <v>229</v>
      </c>
      <c r="I573" t="s">
        <v>93</v>
      </c>
    </row>
    <row r="574" spans="8:9">
      <c r="H574" t="s">
        <v>229</v>
      </c>
      <c r="I574" t="s">
        <v>95</v>
      </c>
    </row>
    <row r="575" spans="8:9">
      <c r="H575" t="s">
        <v>229</v>
      </c>
      <c r="I575" t="s">
        <v>96</v>
      </c>
    </row>
    <row r="576" spans="8:9">
      <c r="H576" t="s">
        <v>229</v>
      </c>
      <c r="I576" t="s">
        <v>98</v>
      </c>
    </row>
    <row r="577" spans="8:9">
      <c r="H577" t="s">
        <v>229</v>
      </c>
      <c r="I577" t="s">
        <v>99</v>
      </c>
    </row>
    <row r="578" spans="8:9">
      <c r="H578" t="s">
        <v>229</v>
      </c>
      <c r="I578" t="s">
        <v>100</v>
      </c>
    </row>
    <row r="579" spans="8:9">
      <c r="H579" t="s">
        <v>229</v>
      </c>
      <c r="I579" t="s">
        <v>103</v>
      </c>
    </row>
    <row r="580" spans="8:9">
      <c r="H580" t="s">
        <v>229</v>
      </c>
      <c r="I580" t="s">
        <v>104</v>
      </c>
    </row>
    <row r="581" spans="8:9">
      <c r="H581" t="s">
        <v>229</v>
      </c>
      <c r="I581" t="s">
        <v>106</v>
      </c>
    </row>
    <row r="582" spans="8:9">
      <c r="H582" t="s">
        <v>229</v>
      </c>
      <c r="I582" t="s">
        <v>108</v>
      </c>
    </row>
    <row r="583" spans="8:9">
      <c r="H583" t="s">
        <v>229</v>
      </c>
      <c r="I583" t="s">
        <v>109</v>
      </c>
    </row>
    <row r="584" spans="8:9">
      <c r="H584" t="s">
        <v>229</v>
      </c>
      <c r="I584" t="s">
        <v>113</v>
      </c>
    </row>
    <row r="585" spans="8:9">
      <c r="H585" t="s">
        <v>229</v>
      </c>
      <c r="I585" t="s">
        <v>208</v>
      </c>
    </row>
    <row r="586" spans="8:9">
      <c r="H586" t="s">
        <v>229</v>
      </c>
      <c r="I586" t="s">
        <v>115</v>
      </c>
    </row>
    <row r="587" spans="8:9">
      <c r="H587" t="s">
        <v>229</v>
      </c>
      <c r="I587" t="s">
        <v>118</v>
      </c>
    </row>
    <row r="588" spans="8:9">
      <c r="H588" t="s">
        <v>229</v>
      </c>
      <c r="I588" t="s">
        <v>119</v>
      </c>
    </row>
    <row r="589" spans="8:9">
      <c r="H589" t="s">
        <v>229</v>
      </c>
      <c r="I589" t="s">
        <v>120</v>
      </c>
    </row>
    <row r="590" spans="8:9">
      <c r="H590" t="s">
        <v>229</v>
      </c>
      <c r="I590" t="s">
        <v>210</v>
      </c>
    </row>
    <row r="591" spans="8:9">
      <c r="H591" t="s">
        <v>229</v>
      </c>
      <c r="I591" t="s">
        <v>121</v>
      </c>
    </row>
    <row r="592" spans="8:9">
      <c r="H592" t="s">
        <v>229</v>
      </c>
      <c r="I592" t="s">
        <v>122</v>
      </c>
    </row>
    <row r="593" spans="8:9">
      <c r="H593" t="s">
        <v>229</v>
      </c>
      <c r="I593" t="s">
        <v>123</v>
      </c>
    </row>
    <row r="594" spans="8:9">
      <c r="H594" t="s">
        <v>229</v>
      </c>
      <c r="I594" t="s">
        <v>126</v>
      </c>
    </row>
    <row r="595" spans="8:9">
      <c r="H595" t="s">
        <v>229</v>
      </c>
      <c r="I595" t="s">
        <v>127</v>
      </c>
    </row>
    <row r="596" spans="8:9">
      <c r="H596" t="s">
        <v>229</v>
      </c>
      <c r="I596" t="s">
        <v>128</v>
      </c>
    </row>
    <row r="597" spans="8:9">
      <c r="H597" t="s">
        <v>229</v>
      </c>
      <c r="I597" t="s">
        <v>131</v>
      </c>
    </row>
    <row r="598" spans="8:9">
      <c r="H598" t="s">
        <v>229</v>
      </c>
      <c r="I598" t="s">
        <v>235</v>
      </c>
    </row>
    <row r="599" spans="8:9">
      <c r="H599" t="s">
        <v>229</v>
      </c>
      <c r="I599" t="s">
        <v>132</v>
      </c>
    </row>
    <row r="600" spans="8:9">
      <c r="H600" t="s">
        <v>229</v>
      </c>
      <c r="I600" t="s">
        <v>228</v>
      </c>
    </row>
    <row r="601" spans="8:9">
      <c r="H601" t="s">
        <v>229</v>
      </c>
      <c r="I601" t="s">
        <v>134</v>
      </c>
    </row>
    <row r="602" spans="8:9">
      <c r="H602" t="s">
        <v>229</v>
      </c>
      <c r="I602" t="s">
        <v>135</v>
      </c>
    </row>
    <row r="603" spans="8:9">
      <c r="H603" t="s">
        <v>229</v>
      </c>
      <c r="I603" t="s">
        <v>136</v>
      </c>
    </row>
    <row r="604" spans="8:9">
      <c r="H604" t="s">
        <v>229</v>
      </c>
      <c r="I604" t="s">
        <v>137</v>
      </c>
    </row>
    <row r="605" spans="8:9">
      <c r="H605" t="s">
        <v>229</v>
      </c>
      <c r="I605" t="s">
        <v>138</v>
      </c>
    </row>
    <row r="606" spans="8:9">
      <c r="H606" t="s">
        <v>229</v>
      </c>
      <c r="I606" t="s">
        <v>139</v>
      </c>
    </row>
    <row r="607" spans="8:9">
      <c r="H607" t="s">
        <v>229</v>
      </c>
      <c r="I607" t="s">
        <v>140</v>
      </c>
    </row>
    <row r="608" spans="8:9">
      <c r="H608" t="s">
        <v>236</v>
      </c>
      <c r="I608" t="s">
        <v>39</v>
      </c>
    </row>
    <row r="609" spans="8:9">
      <c r="H609" t="s">
        <v>236</v>
      </c>
      <c r="I609" t="s">
        <v>40</v>
      </c>
    </row>
    <row r="610" spans="8:9">
      <c r="H610" t="s">
        <v>236</v>
      </c>
      <c r="I610" t="s">
        <v>41</v>
      </c>
    </row>
    <row r="611" spans="8:9">
      <c r="H611" t="s">
        <v>236</v>
      </c>
      <c r="I611" t="s">
        <v>42</v>
      </c>
    </row>
    <row r="612" spans="8:9">
      <c r="H612" t="s">
        <v>236</v>
      </c>
      <c r="I612" t="s">
        <v>44</v>
      </c>
    </row>
    <row r="613" spans="8:9">
      <c r="H613" t="s">
        <v>236</v>
      </c>
      <c r="I613" t="s">
        <v>45</v>
      </c>
    </row>
    <row r="614" spans="8:9">
      <c r="H614" t="s">
        <v>236</v>
      </c>
      <c r="I614" t="s">
        <v>30</v>
      </c>
    </row>
    <row r="615" spans="8:9">
      <c r="H615" t="s">
        <v>236</v>
      </c>
      <c r="I615" t="s">
        <v>31</v>
      </c>
    </row>
    <row r="616" spans="8:9">
      <c r="H616" t="s">
        <v>236</v>
      </c>
      <c r="I616" t="s">
        <v>237</v>
      </c>
    </row>
    <row r="617" spans="8:9">
      <c r="H617" t="s">
        <v>236</v>
      </c>
      <c r="I617" t="s">
        <v>32</v>
      </c>
    </row>
    <row r="618" spans="8:9">
      <c r="H618" t="s">
        <v>236</v>
      </c>
      <c r="I618" t="s">
        <v>214</v>
      </c>
    </row>
    <row r="619" spans="8:9">
      <c r="H619" t="s">
        <v>236</v>
      </c>
      <c r="I619" t="s">
        <v>33</v>
      </c>
    </row>
    <row r="620" spans="8:9">
      <c r="H620" t="s">
        <v>236</v>
      </c>
      <c r="I620" t="s">
        <v>46</v>
      </c>
    </row>
    <row r="621" spans="8:9">
      <c r="H621" t="s">
        <v>236</v>
      </c>
      <c r="I621" t="s">
        <v>48</v>
      </c>
    </row>
    <row r="622" spans="8:9">
      <c r="H622" t="s">
        <v>236</v>
      </c>
      <c r="I622" t="s">
        <v>49</v>
      </c>
    </row>
    <row r="623" spans="8:9">
      <c r="H623" t="s">
        <v>236</v>
      </c>
      <c r="I623" t="s">
        <v>50</v>
      </c>
    </row>
    <row r="624" spans="8:9">
      <c r="H624" t="s">
        <v>236</v>
      </c>
      <c r="I624" t="s">
        <v>51</v>
      </c>
    </row>
    <row r="625" spans="8:9">
      <c r="H625" t="s">
        <v>236</v>
      </c>
      <c r="I625" t="s">
        <v>224</v>
      </c>
    </row>
    <row r="626" spans="8:9">
      <c r="H626" t="s">
        <v>236</v>
      </c>
      <c r="I626" t="s">
        <v>52</v>
      </c>
    </row>
    <row r="627" spans="8:9">
      <c r="H627" t="s">
        <v>236</v>
      </c>
      <c r="I627" t="s">
        <v>53</v>
      </c>
    </row>
    <row r="628" spans="8:9">
      <c r="H628" t="s">
        <v>236</v>
      </c>
      <c r="I628" t="s">
        <v>54</v>
      </c>
    </row>
    <row r="629" spans="8:9">
      <c r="H629" t="s">
        <v>236</v>
      </c>
      <c r="I629" t="s">
        <v>55</v>
      </c>
    </row>
    <row r="630" spans="8:9">
      <c r="H630" t="s">
        <v>236</v>
      </c>
      <c r="I630" t="s">
        <v>57</v>
      </c>
    </row>
    <row r="631" spans="8:9">
      <c r="H631" t="s">
        <v>236</v>
      </c>
      <c r="I631" t="s">
        <v>58</v>
      </c>
    </row>
    <row r="632" spans="8:9">
      <c r="H632" t="s">
        <v>236</v>
      </c>
      <c r="I632" t="s">
        <v>59</v>
      </c>
    </row>
    <row r="633" spans="8:9">
      <c r="H633" t="s">
        <v>236</v>
      </c>
      <c r="I633" t="s">
        <v>60</v>
      </c>
    </row>
    <row r="634" spans="8:9">
      <c r="H634" t="s">
        <v>236</v>
      </c>
      <c r="I634" t="s">
        <v>238</v>
      </c>
    </row>
    <row r="635" spans="8:9">
      <c r="H635" t="s">
        <v>236</v>
      </c>
      <c r="I635" t="s">
        <v>196</v>
      </c>
    </row>
    <row r="636" spans="8:9">
      <c r="H636" t="s">
        <v>236</v>
      </c>
      <c r="I636" t="s">
        <v>239</v>
      </c>
    </row>
    <row r="637" spans="8:9">
      <c r="H637" t="s">
        <v>236</v>
      </c>
      <c r="I637" t="s">
        <v>163</v>
      </c>
    </row>
    <row r="638" spans="8:9">
      <c r="H638" t="s">
        <v>236</v>
      </c>
      <c r="I638" t="s">
        <v>240</v>
      </c>
    </row>
    <row r="639" spans="8:9">
      <c r="H639" t="s">
        <v>236</v>
      </c>
      <c r="I639" t="s">
        <v>198</v>
      </c>
    </row>
    <row r="640" spans="8:9">
      <c r="H640" t="s">
        <v>236</v>
      </c>
      <c r="I640" t="s">
        <v>241</v>
      </c>
    </row>
    <row r="641" spans="8:9">
      <c r="H641" t="s">
        <v>236</v>
      </c>
      <c r="I641" t="s">
        <v>199</v>
      </c>
    </row>
    <row r="642" spans="8:9">
      <c r="H642" t="s">
        <v>236</v>
      </c>
      <c r="I642" t="s">
        <v>68</v>
      </c>
    </row>
    <row r="643" spans="8:9">
      <c r="H643" t="s">
        <v>236</v>
      </c>
      <c r="I643" t="s">
        <v>69</v>
      </c>
    </row>
    <row r="644" spans="8:9">
      <c r="H644" t="s">
        <v>236</v>
      </c>
      <c r="I644" t="s">
        <v>70</v>
      </c>
    </row>
    <row r="645" spans="8:9">
      <c r="H645" t="s">
        <v>236</v>
      </c>
      <c r="I645" t="s">
        <v>73</v>
      </c>
    </row>
    <row r="646" spans="8:9">
      <c r="H646" t="s">
        <v>236</v>
      </c>
      <c r="I646" t="s">
        <v>74</v>
      </c>
    </row>
    <row r="647" spans="8:9">
      <c r="H647" t="s">
        <v>236</v>
      </c>
      <c r="I647" t="s">
        <v>75</v>
      </c>
    </row>
    <row r="648" spans="8:9">
      <c r="H648" t="s">
        <v>236</v>
      </c>
      <c r="I648" t="s">
        <v>203</v>
      </c>
    </row>
    <row r="649" spans="8:9">
      <c r="H649" t="s">
        <v>236</v>
      </c>
      <c r="I649" t="s">
        <v>76</v>
      </c>
    </row>
    <row r="650" spans="8:9">
      <c r="H650" t="s">
        <v>236</v>
      </c>
      <c r="I650" t="s">
        <v>77</v>
      </c>
    </row>
    <row r="651" spans="8:9">
      <c r="H651" t="s">
        <v>236</v>
      </c>
      <c r="I651" t="s">
        <v>79</v>
      </c>
    </row>
    <row r="652" spans="8:9">
      <c r="H652" t="s">
        <v>236</v>
      </c>
      <c r="I652" t="s">
        <v>80</v>
      </c>
    </row>
    <row r="653" spans="8:9">
      <c r="H653" t="s">
        <v>236</v>
      </c>
      <c r="I653" t="s">
        <v>242</v>
      </c>
    </row>
    <row r="654" spans="8:9">
      <c r="H654" t="s">
        <v>236</v>
      </c>
      <c r="I654" t="s">
        <v>225</v>
      </c>
    </row>
    <row r="655" spans="8:9">
      <c r="H655" t="s">
        <v>236</v>
      </c>
      <c r="I655" t="s">
        <v>226</v>
      </c>
    </row>
    <row r="656" spans="8:9">
      <c r="H656" t="s">
        <v>236</v>
      </c>
      <c r="I656" t="s">
        <v>234</v>
      </c>
    </row>
    <row r="657" spans="8:9">
      <c r="H657" t="s">
        <v>236</v>
      </c>
      <c r="I657" t="s">
        <v>85</v>
      </c>
    </row>
    <row r="658" spans="8:9">
      <c r="H658" t="s">
        <v>236</v>
      </c>
      <c r="I658" t="s">
        <v>87</v>
      </c>
    </row>
    <row r="659" spans="8:9">
      <c r="H659" t="s">
        <v>236</v>
      </c>
      <c r="I659" t="s">
        <v>243</v>
      </c>
    </row>
    <row r="660" spans="8:9">
      <c r="H660" t="s">
        <v>236</v>
      </c>
      <c r="I660" t="s">
        <v>227</v>
      </c>
    </row>
    <row r="661" spans="8:9">
      <c r="H661" t="s">
        <v>236</v>
      </c>
      <c r="I661" t="s">
        <v>91</v>
      </c>
    </row>
    <row r="662" spans="8:9">
      <c r="H662" t="s">
        <v>236</v>
      </c>
      <c r="I662" t="s">
        <v>92</v>
      </c>
    </row>
    <row r="663" spans="8:9">
      <c r="H663" t="s">
        <v>236</v>
      </c>
      <c r="I663" t="s">
        <v>93</v>
      </c>
    </row>
    <row r="664" spans="8:9">
      <c r="H664" t="s">
        <v>236</v>
      </c>
      <c r="I664" t="s">
        <v>94</v>
      </c>
    </row>
    <row r="665" spans="8:9">
      <c r="H665" t="s">
        <v>236</v>
      </c>
      <c r="I665" t="s">
        <v>95</v>
      </c>
    </row>
    <row r="666" spans="8:9">
      <c r="H666" t="s">
        <v>236</v>
      </c>
      <c r="I666" t="s">
        <v>96</v>
      </c>
    </row>
    <row r="667" spans="8:9">
      <c r="H667" t="s">
        <v>236</v>
      </c>
      <c r="I667" t="s">
        <v>97</v>
      </c>
    </row>
    <row r="668" spans="8:9">
      <c r="H668" t="s">
        <v>236</v>
      </c>
      <c r="I668" t="s">
        <v>98</v>
      </c>
    </row>
    <row r="669" spans="8:9">
      <c r="H669" t="s">
        <v>236</v>
      </c>
      <c r="I669" t="s">
        <v>99</v>
      </c>
    </row>
    <row r="670" spans="8:9">
      <c r="H670" t="s">
        <v>236</v>
      </c>
      <c r="I670" t="s">
        <v>100</v>
      </c>
    </row>
    <row r="671" spans="8:9">
      <c r="H671" t="s">
        <v>236</v>
      </c>
      <c r="I671" t="s">
        <v>101</v>
      </c>
    </row>
    <row r="672" spans="8:9">
      <c r="H672" t="s">
        <v>236</v>
      </c>
      <c r="I672" t="s">
        <v>102</v>
      </c>
    </row>
    <row r="673" spans="8:9">
      <c r="H673" t="s">
        <v>236</v>
      </c>
      <c r="I673" t="s">
        <v>103</v>
      </c>
    </row>
    <row r="674" spans="8:9">
      <c r="H674" t="s">
        <v>236</v>
      </c>
      <c r="I674" t="s">
        <v>104</v>
      </c>
    </row>
    <row r="675" spans="8:9">
      <c r="H675" t="s">
        <v>236</v>
      </c>
      <c r="I675" t="s">
        <v>108</v>
      </c>
    </row>
    <row r="676" spans="8:9">
      <c r="H676" t="s">
        <v>236</v>
      </c>
      <c r="I676" t="s">
        <v>109</v>
      </c>
    </row>
    <row r="677" spans="8:9">
      <c r="H677" t="s">
        <v>236</v>
      </c>
      <c r="I677" t="s">
        <v>113</v>
      </c>
    </row>
    <row r="678" spans="8:9">
      <c r="H678" t="s">
        <v>236</v>
      </c>
      <c r="I678" t="s">
        <v>115</v>
      </c>
    </row>
    <row r="679" spans="8:9">
      <c r="H679" t="s">
        <v>236</v>
      </c>
      <c r="I679" t="s">
        <v>244</v>
      </c>
    </row>
    <row r="680" spans="8:9">
      <c r="H680" t="s">
        <v>236</v>
      </c>
      <c r="I680" t="s">
        <v>118</v>
      </c>
    </row>
    <row r="681" spans="8:9">
      <c r="H681" t="s">
        <v>236</v>
      </c>
      <c r="I681" t="s">
        <v>119</v>
      </c>
    </row>
    <row r="682" spans="8:9">
      <c r="H682" t="s">
        <v>236</v>
      </c>
      <c r="I682" t="s">
        <v>120</v>
      </c>
    </row>
    <row r="683" spans="8:9">
      <c r="H683" t="s">
        <v>236</v>
      </c>
      <c r="I683" t="s">
        <v>121</v>
      </c>
    </row>
    <row r="684" spans="8:9">
      <c r="H684" t="s">
        <v>236</v>
      </c>
      <c r="I684" t="s">
        <v>122</v>
      </c>
    </row>
    <row r="685" spans="8:9">
      <c r="H685" t="s">
        <v>236</v>
      </c>
      <c r="I685" t="s">
        <v>123</v>
      </c>
    </row>
    <row r="686" spans="8:9">
      <c r="H686" t="s">
        <v>236</v>
      </c>
      <c r="I686" t="s">
        <v>125</v>
      </c>
    </row>
    <row r="687" spans="8:9">
      <c r="H687" t="s">
        <v>236</v>
      </c>
      <c r="I687" t="s">
        <v>132</v>
      </c>
    </row>
    <row r="688" spans="8:9">
      <c r="H688" t="s">
        <v>236</v>
      </c>
      <c r="I688" t="s">
        <v>133</v>
      </c>
    </row>
    <row r="689" spans="8:9">
      <c r="H689" t="s">
        <v>236</v>
      </c>
      <c r="I689" t="s">
        <v>245</v>
      </c>
    </row>
    <row r="690" spans="8:9">
      <c r="H690" t="s">
        <v>236</v>
      </c>
      <c r="I690" t="s">
        <v>135</v>
      </c>
    </row>
    <row r="691" spans="8:9">
      <c r="H691" t="s">
        <v>236</v>
      </c>
      <c r="I691" t="s">
        <v>138</v>
      </c>
    </row>
    <row r="692" spans="8:9">
      <c r="H692" t="s">
        <v>236</v>
      </c>
      <c r="I692" t="s">
        <v>139</v>
      </c>
    </row>
    <row r="693" spans="8:9">
      <c r="H693" t="s">
        <v>236</v>
      </c>
      <c r="I693" t="s">
        <v>142</v>
      </c>
    </row>
    <row r="694" spans="8:9">
      <c r="H694" t="s">
        <v>246</v>
      </c>
      <c r="I694" t="s">
        <v>39</v>
      </c>
    </row>
    <row r="695" spans="8:9">
      <c r="H695" t="s">
        <v>246</v>
      </c>
      <c r="I695" t="s">
        <v>247</v>
      </c>
    </row>
    <row r="696" spans="8:9">
      <c r="H696" t="s">
        <v>246</v>
      </c>
      <c r="I696" t="s">
        <v>40</v>
      </c>
    </row>
    <row r="697" spans="8:9">
      <c r="H697" t="s">
        <v>246</v>
      </c>
      <c r="I697" t="s">
        <v>14</v>
      </c>
    </row>
    <row r="698" spans="8:9">
      <c r="H698" t="s">
        <v>246</v>
      </c>
      <c r="I698" t="s">
        <v>41</v>
      </c>
    </row>
    <row r="699" spans="8:9">
      <c r="H699" t="s">
        <v>246</v>
      </c>
      <c r="I699" t="s">
        <v>42</v>
      </c>
    </row>
    <row r="700" spans="8:9">
      <c r="H700" t="s">
        <v>246</v>
      </c>
      <c r="I700" t="s">
        <v>43</v>
      </c>
    </row>
    <row r="701" spans="8:9">
      <c r="H701" t="s">
        <v>246</v>
      </c>
      <c r="I701" t="s">
        <v>44</v>
      </c>
    </row>
    <row r="702" spans="8:9">
      <c r="H702" t="s">
        <v>246</v>
      </c>
      <c r="I702" t="s">
        <v>45</v>
      </c>
    </row>
    <row r="703" spans="8:9">
      <c r="H703" t="s">
        <v>246</v>
      </c>
      <c r="I703" t="s">
        <v>30</v>
      </c>
    </row>
    <row r="704" spans="8:9">
      <c r="H704" t="s">
        <v>246</v>
      </c>
      <c r="I704" t="s">
        <v>31</v>
      </c>
    </row>
    <row r="705" spans="8:9">
      <c r="H705" t="s">
        <v>246</v>
      </c>
      <c r="I705" t="s">
        <v>32</v>
      </c>
    </row>
    <row r="706" spans="8:9">
      <c r="H706" t="s">
        <v>246</v>
      </c>
      <c r="I706" t="s">
        <v>214</v>
      </c>
    </row>
    <row r="707" spans="8:9">
      <c r="H707" t="s">
        <v>246</v>
      </c>
      <c r="I707" t="s">
        <v>33</v>
      </c>
    </row>
    <row r="708" spans="8:9">
      <c r="H708" t="s">
        <v>246</v>
      </c>
      <c r="I708" t="s">
        <v>231</v>
      </c>
    </row>
    <row r="709" spans="8:9">
      <c r="H709" t="s">
        <v>246</v>
      </c>
      <c r="I709" t="s">
        <v>47</v>
      </c>
    </row>
    <row r="710" spans="8:9">
      <c r="H710" t="s">
        <v>246</v>
      </c>
      <c r="I710" t="s">
        <v>48</v>
      </c>
    </row>
    <row r="711" spans="8:9">
      <c r="H711" t="s">
        <v>246</v>
      </c>
      <c r="I711" t="s">
        <v>49</v>
      </c>
    </row>
    <row r="712" spans="8:9">
      <c r="H712" t="s">
        <v>246</v>
      </c>
      <c r="I712" t="s">
        <v>52</v>
      </c>
    </row>
    <row r="713" spans="8:9">
      <c r="H713" t="s">
        <v>246</v>
      </c>
      <c r="I713" t="s">
        <v>53</v>
      </c>
    </row>
    <row r="714" spans="8:9">
      <c r="H714" t="s">
        <v>246</v>
      </c>
      <c r="I714" t="s">
        <v>54</v>
      </c>
    </row>
    <row r="715" spans="8:9">
      <c r="H715" t="s">
        <v>246</v>
      </c>
      <c r="I715" t="s">
        <v>55</v>
      </c>
    </row>
    <row r="716" spans="8:9">
      <c r="H716" t="s">
        <v>246</v>
      </c>
      <c r="I716" t="s">
        <v>57</v>
      </c>
    </row>
    <row r="717" spans="8:9">
      <c r="H717" t="s">
        <v>246</v>
      </c>
      <c r="I717" t="s">
        <v>58</v>
      </c>
    </row>
    <row r="718" spans="8:9">
      <c r="H718" t="s">
        <v>246</v>
      </c>
      <c r="I718" t="s">
        <v>60</v>
      </c>
    </row>
    <row r="719" spans="8:9">
      <c r="H719" t="s">
        <v>246</v>
      </c>
      <c r="I719" t="s">
        <v>248</v>
      </c>
    </row>
    <row r="720" spans="8:9">
      <c r="H720" t="s">
        <v>246</v>
      </c>
      <c r="I720" t="s">
        <v>232</v>
      </c>
    </row>
    <row r="721" spans="8:9">
      <c r="H721" t="s">
        <v>246</v>
      </c>
      <c r="I721" t="s">
        <v>61</v>
      </c>
    </row>
    <row r="722" spans="8:9">
      <c r="H722" t="s">
        <v>246</v>
      </c>
      <c r="I722" t="s">
        <v>216</v>
      </c>
    </row>
    <row r="723" spans="8:9">
      <c r="H723" t="s">
        <v>246</v>
      </c>
      <c r="I723" t="s">
        <v>241</v>
      </c>
    </row>
    <row r="724" spans="8:9">
      <c r="H724" t="s">
        <v>246</v>
      </c>
      <c r="I724" t="s">
        <v>68</v>
      </c>
    </row>
    <row r="725" spans="8:9">
      <c r="H725" t="s">
        <v>246</v>
      </c>
      <c r="I725" t="s">
        <v>69</v>
      </c>
    </row>
    <row r="726" spans="8:9">
      <c r="H726" t="s">
        <v>246</v>
      </c>
      <c r="I726" t="s">
        <v>70</v>
      </c>
    </row>
    <row r="727" spans="8:9">
      <c r="H727" t="s">
        <v>246</v>
      </c>
      <c r="I727" t="s">
        <v>73</v>
      </c>
    </row>
    <row r="728" spans="8:9">
      <c r="H728" t="s">
        <v>246</v>
      </c>
      <c r="I728" t="s">
        <v>249</v>
      </c>
    </row>
    <row r="729" spans="8:9">
      <c r="H729" t="s">
        <v>246</v>
      </c>
      <c r="I729" t="s">
        <v>74</v>
      </c>
    </row>
    <row r="730" spans="8:9">
      <c r="H730" t="s">
        <v>246</v>
      </c>
      <c r="I730" t="s">
        <v>75</v>
      </c>
    </row>
    <row r="731" spans="8:9">
      <c r="H731" t="s">
        <v>246</v>
      </c>
      <c r="I731" t="s">
        <v>76</v>
      </c>
    </row>
    <row r="732" spans="8:9">
      <c r="H732" t="s">
        <v>246</v>
      </c>
      <c r="I732" t="s">
        <v>78</v>
      </c>
    </row>
    <row r="733" spans="8:9">
      <c r="H733" t="s">
        <v>246</v>
      </c>
      <c r="I733" t="s">
        <v>79</v>
      </c>
    </row>
    <row r="734" spans="8:9">
      <c r="H734" t="s">
        <v>246</v>
      </c>
      <c r="I734" t="s">
        <v>80</v>
      </c>
    </row>
    <row r="735" spans="8:9">
      <c r="H735" t="s">
        <v>246</v>
      </c>
      <c r="I735" t="s">
        <v>225</v>
      </c>
    </row>
    <row r="736" spans="8:9">
      <c r="H736" t="s">
        <v>246</v>
      </c>
      <c r="I736" t="s">
        <v>226</v>
      </c>
    </row>
    <row r="737" spans="8:9">
      <c r="H737" t="s">
        <v>246</v>
      </c>
      <c r="I737" t="s">
        <v>234</v>
      </c>
    </row>
    <row r="738" spans="8:9">
      <c r="H738" t="s">
        <v>246</v>
      </c>
      <c r="I738" t="s">
        <v>85</v>
      </c>
    </row>
    <row r="739" spans="8:9">
      <c r="H739" t="s">
        <v>246</v>
      </c>
      <c r="I739" t="s">
        <v>87</v>
      </c>
    </row>
    <row r="740" spans="8:9">
      <c r="H740" t="s">
        <v>246</v>
      </c>
      <c r="I740" t="s">
        <v>243</v>
      </c>
    </row>
    <row r="741" spans="8:9">
      <c r="H741" t="s">
        <v>246</v>
      </c>
      <c r="I741" t="s">
        <v>227</v>
      </c>
    </row>
    <row r="742" spans="8:9">
      <c r="H742" t="s">
        <v>246</v>
      </c>
      <c r="I742" t="s">
        <v>88</v>
      </c>
    </row>
    <row r="743" spans="8:9">
      <c r="H743" t="s">
        <v>246</v>
      </c>
      <c r="I743" t="s">
        <v>89</v>
      </c>
    </row>
    <row r="744" spans="8:9">
      <c r="H744" t="s">
        <v>246</v>
      </c>
      <c r="I744" t="s">
        <v>92</v>
      </c>
    </row>
    <row r="745" spans="8:9">
      <c r="H745" t="s">
        <v>246</v>
      </c>
      <c r="I745" t="s">
        <v>93</v>
      </c>
    </row>
    <row r="746" spans="8:9">
      <c r="H746" t="s">
        <v>246</v>
      </c>
      <c r="I746" t="s">
        <v>95</v>
      </c>
    </row>
    <row r="747" spans="8:9">
      <c r="H747" t="s">
        <v>246</v>
      </c>
      <c r="I747" t="s">
        <v>96</v>
      </c>
    </row>
    <row r="748" spans="8:9">
      <c r="H748" t="s">
        <v>246</v>
      </c>
      <c r="I748" t="s">
        <v>98</v>
      </c>
    </row>
    <row r="749" spans="8:9">
      <c r="H749" t="s">
        <v>246</v>
      </c>
      <c r="I749" t="s">
        <v>99</v>
      </c>
    </row>
    <row r="750" spans="8:9">
      <c r="H750" t="s">
        <v>246</v>
      </c>
      <c r="I750" t="s">
        <v>100</v>
      </c>
    </row>
    <row r="751" spans="8:9">
      <c r="H751" t="s">
        <v>246</v>
      </c>
      <c r="I751" t="s">
        <v>102</v>
      </c>
    </row>
    <row r="752" spans="8:9">
      <c r="H752" t="s">
        <v>246</v>
      </c>
      <c r="I752" t="s">
        <v>103</v>
      </c>
    </row>
    <row r="753" spans="8:9">
      <c r="H753" t="s">
        <v>246</v>
      </c>
      <c r="I753" t="s">
        <v>104</v>
      </c>
    </row>
    <row r="754" spans="8:9">
      <c r="H754" t="s">
        <v>246</v>
      </c>
      <c r="I754" t="s">
        <v>105</v>
      </c>
    </row>
    <row r="755" spans="8:9">
      <c r="H755" t="s">
        <v>246</v>
      </c>
      <c r="I755" t="s">
        <v>106</v>
      </c>
    </row>
    <row r="756" spans="8:9">
      <c r="H756" t="s">
        <v>246</v>
      </c>
      <c r="I756" t="s">
        <v>107</v>
      </c>
    </row>
    <row r="757" spans="8:9">
      <c r="H757" t="s">
        <v>246</v>
      </c>
      <c r="I757" t="s">
        <v>108</v>
      </c>
    </row>
    <row r="758" spans="8:9">
      <c r="H758" t="s">
        <v>246</v>
      </c>
      <c r="I758" t="s">
        <v>35</v>
      </c>
    </row>
    <row r="759" spans="8:9">
      <c r="H759" t="s">
        <v>246</v>
      </c>
      <c r="I759" t="s">
        <v>36</v>
      </c>
    </row>
    <row r="760" spans="8:9">
      <c r="H760" t="s">
        <v>246</v>
      </c>
      <c r="I760" t="s">
        <v>37</v>
      </c>
    </row>
    <row r="761" spans="8:9">
      <c r="H761" t="s">
        <v>246</v>
      </c>
      <c r="I761" t="s">
        <v>109</v>
      </c>
    </row>
    <row r="762" spans="8:9">
      <c r="H762" t="s">
        <v>246</v>
      </c>
      <c r="I762" t="s">
        <v>113</v>
      </c>
    </row>
    <row r="763" spans="8:9">
      <c r="H763" t="s">
        <v>246</v>
      </c>
      <c r="I763" t="s">
        <v>115</v>
      </c>
    </row>
    <row r="764" spans="8:9">
      <c r="H764" t="s">
        <v>246</v>
      </c>
      <c r="I764" t="s">
        <v>244</v>
      </c>
    </row>
    <row r="765" spans="8:9">
      <c r="H765" t="s">
        <v>246</v>
      </c>
      <c r="I765" t="s">
        <v>118</v>
      </c>
    </row>
    <row r="766" spans="8:9">
      <c r="H766" t="s">
        <v>246</v>
      </c>
      <c r="I766" t="s">
        <v>119</v>
      </c>
    </row>
    <row r="767" spans="8:9">
      <c r="H767" t="s">
        <v>246</v>
      </c>
      <c r="I767" t="s">
        <v>120</v>
      </c>
    </row>
    <row r="768" spans="8:9">
      <c r="H768" t="s">
        <v>246</v>
      </c>
      <c r="I768" t="s">
        <v>122</v>
      </c>
    </row>
    <row r="769" spans="8:9">
      <c r="H769" t="s">
        <v>246</v>
      </c>
      <c r="I769" t="s">
        <v>123</v>
      </c>
    </row>
    <row r="770" spans="8:9">
      <c r="H770" t="s">
        <v>246</v>
      </c>
      <c r="I770" t="s">
        <v>250</v>
      </c>
    </row>
    <row r="771" spans="8:9">
      <c r="H771" t="s">
        <v>246</v>
      </c>
      <c r="I771" t="s">
        <v>125</v>
      </c>
    </row>
    <row r="772" spans="8:9">
      <c r="H772" t="s">
        <v>246</v>
      </c>
      <c r="I772" t="s">
        <v>126</v>
      </c>
    </row>
    <row r="773" spans="8:9">
      <c r="H773" t="s">
        <v>246</v>
      </c>
      <c r="I773" t="s">
        <v>127</v>
      </c>
    </row>
    <row r="774" spans="8:9">
      <c r="H774" t="s">
        <v>246</v>
      </c>
      <c r="I774" t="s">
        <v>131</v>
      </c>
    </row>
    <row r="775" spans="8:9">
      <c r="H775" t="s">
        <v>246</v>
      </c>
      <c r="I775" t="s">
        <v>132</v>
      </c>
    </row>
    <row r="776" spans="8:9">
      <c r="H776" t="s">
        <v>246</v>
      </c>
      <c r="I776" t="s">
        <v>251</v>
      </c>
    </row>
    <row r="777" spans="8:9">
      <c r="H777" t="s">
        <v>246</v>
      </c>
      <c r="I777" t="s">
        <v>134</v>
      </c>
    </row>
    <row r="778" spans="8:9">
      <c r="H778" t="s">
        <v>246</v>
      </c>
      <c r="I778" t="s">
        <v>135</v>
      </c>
    </row>
    <row r="779" spans="8:9">
      <c r="H779" t="s">
        <v>246</v>
      </c>
      <c r="I779" t="s">
        <v>136</v>
      </c>
    </row>
    <row r="780" spans="8:9">
      <c r="H780" t="s">
        <v>246</v>
      </c>
      <c r="I780" t="s">
        <v>137</v>
      </c>
    </row>
    <row r="781" spans="8:9">
      <c r="H781" t="s">
        <v>246</v>
      </c>
      <c r="I781" t="s">
        <v>138</v>
      </c>
    </row>
    <row r="782" spans="8:9">
      <c r="H782" t="s">
        <v>246</v>
      </c>
      <c r="I782" t="s">
        <v>139</v>
      </c>
    </row>
    <row r="783" spans="8:9">
      <c r="H783" t="s">
        <v>252</v>
      </c>
      <c r="I783" t="s">
        <v>144</v>
      </c>
    </row>
    <row r="784" spans="8:9">
      <c r="H784" t="s">
        <v>252</v>
      </c>
      <c r="I784" t="s">
        <v>145</v>
      </c>
    </row>
    <row r="785" spans="8:9">
      <c r="H785" t="s">
        <v>252</v>
      </c>
      <c r="I785" t="s">
        <v>146</v>
      </c>
    </row>
    <row r="786" spans="8:9">
      <c r="H786" t="s">
        <v>252</v>
      </c>
      <c r="I786" t="s">
        <v>148</v>
      </c>
    </row>
    <row r="787" spans="8:9">
      <c r="H787" t="s">
        <v>252</v>
      </c>
      <c r="I787" t="s">
        <v>149</v>
      </c>
    </row>
    <row r="788" spans="8:9">
      <c r="H788" t="s">
        <v>252</v>
      </c>
      <c r="I788" t="s">
        <v>151</v>
      </c>
    </row>
    <row r="789" spans="8:9">
      <c r="H789" t="s">
        <v>252</v>
      </c>
      <c r="I789" t="s">
        <v>152</v>
      </c>
    </row>
    <row r="790" spans="8:9">
      <c r="H790" t="s">
        <v>252</v>
      </c>
      <c r="I790" t="s">
        <v>153</v>
      </c>
    </row>
    <row r="791" spans="8:9">
      <c r="H791" t="s">
        <v>252</v>
      </c>
      <c r="I791" t="s">
        <v>154</v>
      </c>
    </row>
    <row r="792" spans="8:9">
      <c r="H792" t="s">
        <v>252</v>
      </c>
      <c r="I792" t="s">
        <v>155</v>
      </c>
    </row>
    <row r="793" spans="8:9">
      <c r="H793" t="s">
        <v>252</v>
      </c>
      <c r="I793" t="s">
        <v>156</v>
      </c>
    </row>
    <row r="794" spans="8:9">
      <c r="H794" t="s">
        <v>252</v>
      </c>
      <c r="I794" t="s">
        <v>253</v>
      </c>
    </row>
    <row r="795" spans="8:9">
      <c r="H795" t="s">
        <v>252</v>
      </c>
      <c r="I795" t="s">
        <v>158</v>
      </c>
    </row>
    <row r="796" spans="8:9">
      <c r="H796" t="s">
        <v>252</v>
      </c>
      <c r="I796" t="s">
        <v>159</v>
      </c>
    </row>
    <row r="797" spans="8:9">
      <c r="H797" t="s">
        <v>252</v>
      </c>
      <c r="I797" t="s">
        <v>161</v>
      </c>
    </row>
    <row r="798" spans="8:9">
      <c r="H798" t="s">
        <v>252</v>
      </c>
      <c r="I798" t="s">
        <v>254</v>
      </c>
    </row>
    <row r="799" spans="8:9">
      <c r="H799" t="s">
        <v>252</v>
      </c>
      <c r="I799" t="s">
        <v>162</v>
      </c>
    </row>
    <row r="800" spans="8:9">
      <c r="H800" t="s">
        <v>252</v>
      </c>
      <c r="I800" t="s">
        <v>165</v>
      </c>
    </row>
    <row r="801" spans="8:9">
      <c r="H801" t="s">
        <v>252</v>
      </c>
      <c r="I801" t="s">
        <v>166</v>
      </c>
    </row>
    <row r="802" spans="8:9">
      <c r="H802" t="s">
        <v>252</v>
      </c>
      <c r="I802" t="s">
        <v>167</v>
      </c>
    </row>
    <row r="803" spans="8:9">
      <c r="H803" t="s">
        <v>252</v>
      </c>
      <c r="I803" t="s">
        <v>222</v>
      </c>
    </row>
    <row r="804" spans="8:9">
      <c r="H804" t="s">
        <v>252</v>
      </c>
      <c r="I804" t="s">
        <v>168</v>
      </c>
    </row>
    <row r="805" spans="8:9">
      <c r="H805" t="s">
        <v>252</v>
      </c>
      <c r="I805" t="s">
        <v>169</v>
      </c>
    </row>
    <row r="806" spans="8:9">
      <c r="H806" t="s">
        <v>252</v>
      </c>
      <c r="I806" t="s">
        <v>171</v>
      </c>
    </row>
    <row r="807" spans="8:9">
      <c r="H807" t="s">
        <v>252</v>
      </c>
      <c r="I807" t="s">
        <v>71</v>
      </c>
    </row>
    <row r="808" spans="8:9">
      <c r="H808" t="s">
        <v>252</v>
      </c>
      <c r="I808" t="s">
        <v>173</v>
      </c>
    </row>
    <row r="809" spans="8:9">
      <c r="H809" t="s">
        <v>252</v>
      </c>
      <c r="I809" t="s">
        <v>174</v>
      </c>
    </row>
    <row r="810" spans="8:9">
      <c r="H810" t="s">
        <v>252</v>
      </c>
      <c r="I810" t="s">
        <v>88</v>
      </c>
    </row>
    <row r="811" spans="8:9">
      <c r="H811" t="s">
        <v>252</v>
      </c>
      <c r="I811" t="s">
        <v>89</v>
      </c>
    </row>
    <row r="812" spans="8:9">
      <c r="H812" t="s">
        <v>252</v>
      </c>
      <c r="I812" t="s">
        <v>175</v>
      </c>
    </row>
    <row r="813" spans="8:9">
      <c r="H813" t="s">
        <v>252</v>
      </c>
      <c r="I813" t="s">
        <v>176</v>
      </c>
    </row>
    <row r="814" spans="8:9">
      <c r="H814" t="s">
        <v>252</v>
      </c>
      <c r="I814" t="s">
        <v>177</v>
      </c>
    </row>
    <row r="815" spans="8:9">
      <c r="H815" t="s">
        <v>252</v>
      </c>
      <c r="I815" t="s">
        <v>179</v>
      </c>
    </row>
    <row r="816" spans="8:9">
      <c r="H816" t="s">
        <v>252</v>
      </c>
      <c r="I816" t="s">
        <v>255</v>
      </c>
    </row>
    <row r="817" spans="8:9">
      <c r="H817" t="s">
        <v>252</v>
      </c>
      <c r="I817" t="s">
        <v>181</v>
      </c>
    </row>
    <row r="818" spans="8:9">
      <c r="H818" t="s">
        <v>252</v>
      </c>
      <c r="I818" t="s">
        <v>184</v>
      </c>
    </row>
    <row r="819" spans="8:9">
      <c r="H819" t="s">
        <v>252</v>
      </c>
      <c r="I819" t="s">
        <v>126</v>
      </c>
    </row>
    <row r="820" spans="8:9">
      <c r="H820" t="s">
        <v>252</v>
      </c>
      <c r="I820" t="s">
        <v>185</v>
      </c>
    </row>
    <row r="821" spans="8:9">
      <c r="H821" t="s">
        <v>252</v>
      </c>
      <c r="I821" t="s">
        <v>131</v>
      </c>
    </row>
    <row r="822" spans="8:9">
      <c r="H822" t="s">
        <v>252</v>
      </c>
      <c r="I822" t="s">
        <v>186</v>
      </c>
    </row>
    <row r="823" spans="8:9">
      <c r="H823" t="s">
        <v>252</v>
      </c>
      <c r="I823" t="s">
        <v>187</v>
      </c>
    </row>
    <row r="824" spans="8:9">
      <c r="H824" t="s">
        <v>252</v>
      </c>
      <c r="I824" t="s">
        <v>189</v>
      </c>
    </row>
    <row r="825" spans="8:9">
      <c r="H825" t="s">
        <v>252</v>
      </c>
      <c r="I825" t="s">
        <v>190</v>
      </c>
    </row>
    <row r="826" spans="8:9">
      <c r="H826" t="s">
        <v>256</v>
      </c>
      <c r="I826" t="s">
        <v>231</v>
      </c>
    </row>
    <row r="827" spans="8:9">
      <c r="H827" t="s">
        <v>256</v>
      </c>
      <c r="I827" t="s">
        <v>257</v>
      </c>
    </row>
    <row r="828" spans="8:9">
      <c r="H828" t="s">
        <v>256</v>
      </c>
      <c r="I828" t="s">
        <v>258</v>
      </c>
    </row>
    <row r="829" spans="8:9">
      <c r="H829" t="s">
        <v>256</v>
      </c>
      <c r="I829" t="s">
        <v>259</v>
      </c>
    </row>
    <row r="830" spans="8:9">
      <c r="H830" t="s">
        <v>256</v>
      </c>
      <c r="I830" t="s">
        <v>260</v>
      </c>
    </row>
    <row r="831" spans="8:9">
      <c r="H831" t="s">
        <v>256</v>
      </c>
      <c r="I831" t="s">
        <v>261</v>
      </c>
    </row>
    <row r="832" spans="8:9">
      <c r="H832" t="s">
        <v>256</v>
      </c>
      <c r="I832" t="s">
        <v>262</v>
      </c>
    </row>
    <row r="833" spans="8:9">
      <c r="H833" t="s">
        <v>256</v>
      </c>
      <c r="I833" t="s">
        <v>69</v>
      </c>
    </row>
    <row r="834" spans="8:9">
      <c r="H834" t="s">
        <v>256</v>
      </c>
      <c r="I834" t="s">
        <v>249</v>
      </c>
    </row>
    <row r="835" spans="8:9">
      <c r="H835" t="s">
        <v>256</v>
      </c>
      <c r="I835" t="s">
        <v>75</v>
      </c>
    </row>
    <row r="836" spans="8:9">
      <c r="H836" t="s">
        <v>256</v>
      </c>
      <c r="I836" t="s">
        <v>99</v>
      </c>
    </row>
    <row r="837" spans="8:9">
      <c r="H837" t="s">
        <v>256</v>
      </c>
      <c r="I837" t="s">
        <v>263</v>
      </c>
    </row>
    <row r="838" spans="8:9">
      <c r="H838" t="s">
        <v>256</v>
      </c>
      <c r="I838" t="s">
        <v>264</v>
      </c>
    </row>
    <row r="839" spans="8:9">
      <c r="H839" t="s">
        <v>256</v>
      </c>
      <c r="I839" t="s">
        <v>107</v>
      </c>
    </row>
    <row r="840" spans="8:9">
      <c r="H840" t="s">
        <v>256</v>
      </c>
      <c r="I840" t="s">
        <v>265</v>
      </c>
    </row>
    <row r="841" spans="8:9">
      <c r="H841" t="s">
        <v>256</v>
      </c>
      <c r="I841" t="s">
        <v>266</v>
      </c>
    </row>
    <row r="842" spans="8:9">
      <c r="H842" t="s">
        <v>256</v>
      </c>
      <c r="I842" t="s">
        <v>267</v>
      </c>
    </row>
    <row r="843" spans="8:9">
      <c r="H843" t="s">
        <v>256</v>
      </c>
      <c r="I843" t="s">
        <v>268</v>
      </c>
    </row>
    <row r="844" spans="8:9">
      <c r="H844" t="s">
        <v>256</v>
      </c>
      <c r="I844" t="s">
        <v>269</v>
      </c>
    </row>
    <row r="845" spans="8:9">
      <c r="H845" t="s">
        <v>256</v>
      </c>
      <c r="I845" t="s">
        <v>270</v>
      </c>
    </row>
    <row r="846" spans="8:9">
      <c r="H846" t="s">
        <v>256</v>
      </c>
      <c r="I846" t="s">
        <v>119</v>
      </c>
    </row>
    <row r="847" spans="8:9">
      <c r="H847" t="s">
        <v>256</v>
      </c>
      <c r="I847" t="s">
        <v>120</v>
      </c>
    </row>
    <row r="848" spans="8:9">
      <c r="H848" t="s">
        <v>256</v>
      </c>
      <c r="I848" t="s">
        <v>271</v>
      </c>
    </row>
    <row r="849" spans="8:9">
      <c r="H849" t="s">
        <v>256</v>
      </c>
      <c r="I849" t="s">
        <v>182</v>
      </c>
    </row>
    <row r="850" spans="8:9">
      <c r="H850" t="s">
        <v>256</v>
      </c>
      <c r="I850" t="s">
        <v>272</v>
      </c>
    </row>
    <row r="851" spans="8:9">
      <c r="H851" t="s">
        <v>256</v>
      </c>
      <c r="I851" t="s">
        <v>212</v>
      </c>
    </row>
    <row r="852" spans="8:9">
      <c r="H852" t="s">
        <v>256</v>
      </c>
      <c r="I852" t="s">
        <v>132</v>
      </c>
    </row>
    <row r="853" spans="8:9">
      <c r="H853" t="s">
        <v>256</v>
      </c>
      <c r="I853" t="s">
        <v>273</v>
      </c>
    </row>
    <row r="854" spans="8:9">
      <c r="H854" t="s">
        <v>256</v>
      </c>
      <c r="I854" t="s">
        <v>274</v>
      </c>
    </row>
    <row r="855" spans="8:9">
      <c r="H855" t="s">
        <v>256</v>
      </c>
      <c r="I855" t="s">
        <v>228</v>
      </c>
    </row>
    <row r="856" spans="8:9">
      <c r="H856" t="s">
        <v>256</v>
      </c>
      <c r="I856" t="s">
        <v>275</v>
      </c>
    </row>
    <row r="857" spans="8:9">
      <c r="H857" t="s">
        <v>256</v>
      </c>
      <c r="I857" t="s">
        <v>276</v>
      </c>
    </row>
    <row r="858" spans="8:9">
      <c r="H858" t="s">
        <v>256</v>
      </c>
      <c r="I858" t="s">
        <v>134</v>
      </c>
    </row>
    <row r="859" spans="8:9">
      <c r="H859" t="s">
        <v>256</v>
      </c>
      <c r="I859" t="s">
        <v>277</v>
      </c>
    </row>
    <row r="860" spans="8:9">
      <c r="H860" t="s">
        <v>278</v>
      </c>
      <c r="I860" t="s">
        <v>279</v>
      </c>
    </row>
    <row r="861" spans="8:9">
      <c r="H861" t="s">
        <v>278</v>
      </c>
      <c r="I861" t="s">
        <v>280</v>
      </c>
    </row>
    <row r="862" spans="8:9">
      <c r="H862" t="s">
        <v>278</v>
      </c>
      <c r="I862" t="s">
        <v>39</v>
      </c>
    </row>
    <row r="863" spans="8:9">
      <c r="H863" t="s">
        <v>278</v>
      </c>
      <c r="I863" t="s">
        <v>40</v>
      </c>
    </row>
    <row r="864" spans="8:9">
      <c r="H864" t="s">
        <v>278</v>
      </c>
      <c r="I864" t="s">
        <v>14</v>
      </c>
    </row>
    <row r="865" spans="8:9">
      <c r="H865" t="s">
        <v>278</v>
      </c>
      <c r="I865" t="s">
        <v>41</v>
      </c>
    </row>
    <row r="866" spans="8:9">
      <c r="H866" t="s">
        <v>278</v>
      </c>
      <c r="I866" t="s">
        <v>230</v>
      </c>
    </row>
    <row r="867" spans="8:9">
      <c r="H867" t="s">
        <v>278</v>
      </c>
      <c r="I867" t="s">
        <v>42</v>
      </c>
    </row>
    <row r="868" spans="8:9">
      <c r="H868" t="s">
        <v>278</v>
      </c>
      <c r="I868" t="s">
        <v>43</v>
      </c>
    </row>
    <row r="869" spans="8:9">
      <c r="H869" t="s">
        <v>278</v>
      </c>
      <c r="I869" t="s">
        <v>44</v>
      </c>
    </row>
    <row r="870" spans="8:9">
      <c r="H870" t="s">
        <v>278</v>
      </c>
      <c r="I870" t="s">
        <v>45</v>
      </c>
    </row>
    <row r="871" spans="8:9">
      <c r="H871" t="s">
        <v>278</v>
      </c>
      <c r="I871" t="s">
        <v>30</v>
      </c>
    </row>
    <row r="872" spans="8:9">
      <c r="H872" t="s">
        <v>278</v>
      </c>
      <c r="I872" t="s">
        <v>31</v>
      </c>
    </row>
    <row r="873" spans="8:9">
      <c r="H873" t="s">
        <v>278</v>
      </c>
      <c r="I873" t="s">
        <v>237</v>
      </c>
    </row>
    <row r="874" spans="8:9">
      <c r="H874" t="s">
        <v>278</v>
      </c>
      <c r="I874" t="s">
        <v>32</v>
      </c>
    </row>
    <row r="875" spans="8:9">
      <c r="H875" t="s">
        <v>278</v>
      </c>
      <c r="I875" t="s">
        <v>214</v>
      </c>
    </row>
    <row r="876" spans="8:9">
      <c r="H876" t="s">
        <v>278</v>
      </c>
      <c r="I876" t="s">
        <v>33</v>
      </c>
    </row>
    <row r="877" spans="8:9">
      <c r="H877" t="s">
        <v>278</v>
      </c>
      <c r="I877" t="s">
        <v>47</v>
      </c>
    </row>
    <row r="878" spans="8:9">
      <c r="H878" t="s">
        <v>278</v>
      </c>
      <c r="I878" t="s">
        <v>48</v>
      </c>
    </row>
    <row r="879" spans="8:9">
      <c r="H879" t="s">
        <v>278</v>
      </c>
      <c r="I879" t="s">
        <v>49</v>
      </c>
    </row>
    <row r="880" spans="8:9">
      <c r="H880" t="s">
        <v>278</v>
      </c>
      <c r="I880" t="s">
        <v>50</v>
      </c>
    </row>
    <row r="881" spans="8:9">
      <c r="H881" t="s">
        <v>278</v>
      </c>
      <c r="I881" t="s">
        <v>51</v>
      </c>
    </row>
    <row r="882" spans="8:9">
      <c r="H882" t="s">
        <v>278</v>
      </c>
      <c r="I882" t="s">
        <v>224</v>
      </c>
    </row>
    <row r="883" spans="8:9">
      <c r="H883" t="s">
        <v>278</v>
      </c>
      <c r="I883" t="s">
        <v>52</v>
      </c>
    </row>
    <row r="884" spans="8:9">
      <c r="H884" t="s">
        <v>278</v>
      </c>
      <c r="I884" t="s">
        <v>53</v>
      </c>
    </row>
    <row r="885" spans="8:9">
      <c r="H885" t="s">
        <v>278</v>
      </c>
      <c r="I885" t="s">
        <v>54</v>
      </c>
    </row>
    <row r="886" spans="8:9">
      <c r="H886" t="s">
        <v>278</v>
      </c>
      <c r="I886" t="s">
        <v>55</v>
      </c>
    </row>
    <row r="887" spans="8:9">
      <c r="H887" t="s">
        <v>278</v>
      </c>
      <c r="I887" t="s">
        <v>57</v>
      </c>
    </row>
    <row r="888" spans="8:9">
      <c r="H888" t="s">
        <v>278</v>
      </c>
      <c r="I888" t="s">
        <v>59</v>
      </c>
    </row>
    <row r="889" spans="8:9">
      <c r="H889" t="s">
        <v>278</v>
      </c>
      <c r="I889" t="s">
        <v>60</v>
      </c>
    </row>
    <row r="890" spans="8:9">
      <c r="H890" t="s">
        <v>278</v>
      </c>
      <c r="I890" t="s">
        <v>196</v>
      </c>
    </row>
    <row r="891" spans="8:9">
      <c r="H891" t="s">
        <v>278</v>
      </c>
      <c r="I891" t="s">
        <v>239</v>
      </c>
    </row>
    <row r="892" spans="8:9">
      <c r="H892" t="s">
        <v>278</v>
      </c>
      <c r="I892" t="s">
        <v>163</v>
      </c>
    </row>
    <row r="893" spans="8:9">
      <c r="H893" t="s">
        <v>278</v>
      </c>
      <c r="I893" t="s">
        <v>240</v>
      </c>
    </row>
    <row r="894" spans="8:9">
      <c r="H894" t="s">
        <v>278</v>
      </c>
      <c r="I894" t="s">
        <v>198</v>
      </c>
    </row>
    <row r="895" spans="8:9">
      <c r="H895" t="s">
        <v>278</v>
      </c>
      <c r="I895" t="s">
        <v>63</v>
      </c>
    </row>
    <row r="896" spans="8:9">
      <c r="H896" t="s">
        <v>278</v>
      </c>
      <c r="I896" t="s">
        <v>69</v>
      </c>
    </row>
    <row r="897" spans="8:9">
      <c r="H897" t="s">
        <v>278</v>
      </c>
      <c r="I897" t="s">
        <v>73</v>
      </c>
    </row>
    <row r="898" spans="8:9">
      <c r="H898" t="s">
        <v>278</v>
      </c>
      <c r="I898" t="s">
        <v>75</v>
      </c>
    </row>
    <row r="899" spans="8:9">
      <c r="H899" t="s">
        <v>278</v>
      </c>
      <c r="I899" t="s">
        <v>203</v>
      </c>
    </row>
    <row r="900" spans="8:9">
      <c r="H900" t="s">
        <v>278</v>
      </c>
      <c r="I900" t="s">
        <v>76</v>
      </c>
    </row>
    <row r="901" spans="8:9">
      <c r="H901" t="s">
        <v>278</v>
      </c>
      <c r="I901" t="s">
        <v>77</v>
      </c>
    </row>
    <row r="902" spans="8:9">
      <c r="H902" t="s">
        <v>278</v>
      </c>
      <c r="I902" t="s">
        <v>80</v>
      </c>
    </row>
    <row r="903" spans="8:9">
      <c r="H903" t="s">
        <v>278</v>
      </c>
      <c r="I903" t="s">
        <v>242</v>
      </c>
    </row>
    <row r="904" spans="8:9">
      <c r="H904" t="s">
        <v>278</v>
      </c>
      <c r="I904" t="s">
        <v>82</v>
      </c>
    </row>
    <row r="905" spans="8:9">
      <c r="H905" t="s">
        <v>278</v>
      </c>
      <c r="I905" t="s">
        <v>225</v>
      </c>
    </row>
    <row r="906" spans="8:9">
      <c r="H906" t="s">
        <v>278</v>
      </c>
      <c r="I906" t="s">
        <v>234</v>
      </c>
    </row>
    <row r="907" spans="8:9">
      <c r="H907" t="s">
        <v>278</v>
      </c>
      <c r="I907" t="s">
        <v>85</v>
      </c>
    </row>
    <row r="908" spans="8:9">
      <c r="H908" t="s">
        <v>278</v>
      </c>
      <c r="I908" t="s">
        <v>87</v>
      </c>
    </row>
    <row r="909" spans="8:9">
      <c r="H909" t="s">
        <v>278</v>
      </c>
      <c r="I909" t="s">
        <v>90</v>
      </c>
    </row>
    <row r="910" spans="8:9">
      <c r="H910" t="s">
        <v>278</v>
      </c>
      <c r="I910" t="s">
        <v>91</v>
      </c>
    </row>
    <row r="911" spans="8:9">
      <c r="H911" t="s">
        <v>278</v>
      </c>
      <c r="I911" t="s">
        <v>92</v>
      </c>
    </row>
    <row r="912" spans="8:9">
      <c r="H912" t="s">
        <v>278</v>
      </c>
      <c r="I912" t="s">
        <v>93</v>
      </c>
    </row>
    <row r="913" spans="8:9">
      <c r="H913" t="s">
        <v>278</v>
      </c>
      <c r="I913" t="s">
        <v>281</v>
      </c>
    </row>
    <row r="914" spans="8:9">
      <c r="H914" t="s">
        <v>278</v>
      </c>
      <c r="I914" t="s">
        <v>94</v>
      </c>
    </row>
    <row r="915" spans="8:9">
      <c r="H915" t="s">
        <v>278</v>
      </c>
      <c r="I915" t="s">
        <v>95</v>
      </c>
    </row>
    <row r="916" spans="8:9">
      <c r="H916" t="s">
        <v>278</v>
      </c>
      <c r="I916" t="s">
        <v>96</v>
      </c>
    </row>
    <row r="917" spans="8:9">
      <c r="H917" t="s">
        <v>278</v>
      </c>
      <c r="I917" t="s">
        <v>97</v>
      </c>
    </row>
    <row r="918" spans="8:9">
      <c r="H918" t="s">
        <v>278</v>
      </c>
      <c r="I918" t="s">
        <v>98</v>
      </c>
    </row>
    <row r="919" spans="8:9">
      <c r="H919" t="s">
        <v>278</v>
      </c>
      <c r="I919" t="s">
        <v>99</v>
      </c>
    </row>
    <row r="920" spans="8:9">
      <c r="H920" t="s">
        <v>278</v>
      </c>
      <c r="I920" t="s">
        <v>100</v>
      </c>
    </row>
    <row r="921" spans="8:9">
      <c r="H921" t="s">
        <v>278</v>
      </c>
      <c r="I921" t="s">
        <v>101</v>
      </c>
    </row>
    <row r="922" spans="8:9">
      <c r="H922" t="s">
        <v>278</v>
      </c>
      <c r="I922" t="s">
        <v>103</v>
      </c>
    </row>
    <row r="923" spans="8:9">
      <c r="H923" t="s">
        <v>278</v>
      </c>
      <c r="I923" t="s">
        <v>104</v>
      </c>
    </row>
    <row r="924" spans="8:9">
      <c r="H924" t="s">
        <v>278</v>
      </c>
      <c r="I924" t="s">
        <v>105</v>
      </c>
    </row>
    <row r="925" spans="8:9">
      <c r="H925" t="s">
        <v>278</v>
      </c>
      <c r="I925" t="s">
        <v>106</v>
      </c>
    </row>
    <row r="926" spans="8:9">
      <c r="H926" t="s">
        <v>278</v>
      </c>
      <c r="I926" t="s">
        <v>107</v>
      </c>
    </row>
    <row r="927" spans="8:9">
      <c r="H927" t="s">
        <v>278</v>
      </c>
      <c r="I927" t="s">
        <v>108</v>
      </c>
    </row>
    <row r="928" spans="8:9">
      <c r="H928" t="s">
        <v>278</v>
      </c>
      <c r="I928" t="s">
        <v>35</v>
      </c>
    </row>
    <row r="929" spans="8:9">
      <c r="H929" t="s">
        <v>278</v>
      </c>
      <c r="I929" t="s">
        <v>36</v>
      </c>
    </row>
    <row r="930" spans="8:9">
      <c r="H930" t="s">
        <v>278</v>
      </c>
      <c r="I930" t="s">
        <v>37</v>
      </c>
    </row>
    <row r="931" spans="8:9">
      <c r="H931" t="s">
        <v>278</v>
      </c>
      <c r="I931" t="s">
        <v>266</v>
      </c>
    </row>
    <row r="932" spans="8:9">
      <c r="H932" t="s">
        <v>278</v>
      </c>
      <c r="I932" t="s">
        <v>109</v>
      </c>
    </row>
    <row r="933" spans="8:9">
      <c r="H933" t="s">
        <v>278</v>
      </c>
      <c r="I933" t="s">
        <v>282</v>
      </c>
    </row>
    <row r="934" spans="8:9">
      <c r="H934" t="s">
        <v>278</v>
      </c>
      <c r="I934" t="s">
        <v>112</v>
      </c>
    </row>
    <row r="935" spans="8:9">
      <c r="H935" t="s">
        <v>278</v>
      </c>
      <c r="I935" t="s">
        <v>113</v>
      </c>
    </row>
    <row r="936" spans="8:9">
      <c r="H936" t="s">
        <v>278</v>
      </c>
      <c r="I936" t="s">
        <v>208</v>
      </c>
    </row>
    <row r="937" spans="8:9">
      <c r="H937" t="s">
        <v>278</v>
      </c>
      <c r="I937" t="s">
        <v>283</v>
      </c>
    </row>
    <row r="938" spans="8:9">
      <c r="H938" t="s">
        <v>278</v>
      </c>
      <c r="I938" t="s">
        <v>114</v>
      </c>
    </row>
    <row r="939" spans="8:9">
      <c r="H939" t="s">
        <v>278</v>
      </c>
      <c r="I939" t="s">
        <v>218</v>
      </c>
    </row>
    <row r="940" spans="8:9">
      <c r="H940" t="s">
        <v>278</v>
      </c>
      <c r="I940" t="s">
        <v>115</v>
      </c>
    </row>
    <row r="941" spans="8:9">
      <c r="H941" t="s">
        <v>278</v>
      </c>
      <c r="I941" t="s">
        <v>117</v>
      </c>
    </row>
    <row r="942" spans="8:9">
      <c r="H942" t="s">
        <v>278</v>
      </c>
      <c r="I942" t="s">
        <v>244</v>
      </c>
    </row>
    <row r="943" spans="8:9">
      <c r="H943" t="s">
        <v>278</v>
      </c>
      <c r="I943" t="s">
        <v>118</v>
      </c>
    </row>
    <row r="944" spans="8:9">
      <c r="H944" t="s">
        <v>278</v>
      </c>
      <c r="I944" t="s">
        <v>119</v>
      </c>
    </row>
    <row r="945" spans="8:9">
      <c r="H945" t="s">
        <v>278</v>
      </c>
      <c r="I945" t="s">
        <v>120</v>
      </c>
    </row>
    <row r="946" spans="8:9">
      <c r="H946" t="s">
        <v>278</v>
      </c>
      <c r="I946" t="s">
        <v>121</v>
      </c>
    </row>
    <row r="947" spans="8:9">
      <c r="H947" t="s">
        <v>278</v>
      </c>
      <c r="I947" t="s">
        <v>122</v>
      </c>
    </row>
    <row r="948" spans="8:9">
      <c r="H948" t="s">
        <v>278</v>
      </c>
      <c r="I948" t="s">
        <v>123</v>
      </c>
    </row>
    <row r="949" spans="8:9">
      <c r="H949" t="s">
        <v>278</v>
      </c>
      <c r="I949" t="s">
        <v>250</v>
      </c>
    </row>
    <row r="950" spans="8:9">
      <c r="H950" t="s">
        <v>278</v>
      </c>
      <c r="I950" t="s">
        <v>125</v>
      </c>
    </row>
    <row r="951" spans="8:9">
      <c r="H951" t="s">
        <v>278</v>
      </c>
      <c r="I951" t="s">
        <v>126</v>
      </c>
    </row>
    <row r="952" spans="8:9">
      <c r="H952" t="s">
        <v>278</v>
      </c>
      <c r="I952" t="s">
        <v>127</v>
      </c>
    </row>
    <row r="953" spans="8:9">
      <c r="H953" t="s">
        <v>278</v>
      </c>
      <c r="I953" t="s">
        <v>128</v>
      </c>
    </row>
    <row r="954" spans="8:9">
      <c r="H954" t="s">
        <v>278</v>
      </c>
      <c r="I954" t="s">
        <v>129</v>
      </c>
    </row>
    <row r="955" spans="8:9">
      <c r="H955" t="s">
        <v>278</v>
      </c>
      <c r="I955" t="s">
        <v>131</v>
      </c>
    </row>
    <row r="956" spans="8:9">
      <c r="H956" t="s">
        <v>278</v>
      </c>
      <c r="I956" t="s">
        <v>132</v>
      </c>
    </row>
    <row r="957" spans="8:9">
      <c r="H957" t="s">
        <v>278</v>
      </c>
      <c r="I957" t="s">
        <v>133</v>
      </c>
    </row>
    <row r="958" spans="8:9">
      <c r="H958" t="s">
        <v>278</v>
      </c>
      <c r="I958" t="s">
        <v>134</v>
      </c>
    </row>
    <row r="959" spans="8:9">
      <c r="H959" t="s">
        <v>278</v>
      </c>
      <c r="I959" t="s">
        <v>135</v>
      </c>
    </row>
    <row r="960" spans="8:9">
      <c r="H960" t="s">
        <v>278</v>
      </c>
      <c r="I960" t="s">
        <v>284</v>
      </c>
    </row>
    <row r="961" spans="8:9">
      <c r="H961" t="s">
        <v>278</v>
      </c>
      <c r="I961" t="s">
        <v>190</v>
      </c>
    </row>
    <row r="962" spans="8:9">
      <c r="H962" t="s">
        <v>278</v>
      </c>
      <c r="I962" t="s">
        <v>137</v>
      </c>
    </row>
    <row r="963" spans="8:9">
      <c r="H963" t="s">
        <v>278</v>
      </c>
      <c r="I963" t="s">
        <v>139</v>
      </c>
    </row>
    <row r="964" spans="8:9">
      <c r="H964" t="s">
        <v>278</v>
      </c>
      <c r="I964" t="s">
        <v>140</v>
      </c>
    </row>
    <row r="965" spans="8:9">
      <c r="H965" t="s">
        <v>285</v>
      </c>
      <c r="I965" t="s">
        <v>144</v>
      </c>
    </row>
    <row r="966" spans="8:9">
      <c r="H966" t="s">
        <v>285</v>
      </c>
      <c r="I966" t="s">
        <v>145</v>
      </c>
    </row>
    <row r="967" spans="8:9">
      <c r="H967" t="s">
        <v>285</v>
      </c>
      <c r="I967" t="s">
        <v>146</v>
      </c>
    </row>
    <row r="968" spans="8:9">
      <c r="H968" t="s">
        <v>285</v>
      </c>
      <c r="I968" t="s">
        <v>147</v>
      </c>
    </row>
    <row r="969" spans="8:9">
      <c r="H969" t="s">
        <v>285</v>
      </c>
      <c r="I969" t="s">
        <v>149</v>
      </c>
    </row>
    <row r="970" spans="8:9">
      <c r="H970" t="s">
        <v>285</v>
      </c>
      <c r="I970" t="s">
        <v>156</v>
      </c>
    </row>
    <row r="971" spans="8:9">
      <c r="H971" t="s">
        <v>285</v>
      </c>
      <c r="I971" t="s">
        <v>150</v>
      </c>
    </row>
    <row r="972" spans="8:9">
      <c r="H972" t="s">
        <v>285</v>
      </c>
      <c r="I972" t="s">
        <v>151</v>
      </c>
    </row>
    <row r="973" spans="8:9">
      <c r="H973" t="s">
        <v>285</v>
      </c>
      <c r="I973" t="s">
        <v>152</v>
      </c>
    </row>
    <row r="974" spans="8:9">
      <c r="H974" t="s">
        <v>285</v>
      </c>
      <c r="I974" t="s">
        <v>153</v>
      </c>
    </row>
    <row r="975" spans="8:9">
      <c r="H975" t="s">
        <v>285</v>
      </c>
      <c r="I975" t="s">
        <v>159</v>
      </c>
    </row>
    <row r="976" spans="8:9">
      <c r="H976" t="s">
        <v>285</v>
      </c>
      <c r="I976" t="s">
        <v>163</v>
      </c>
    </row>
    <row r="977" spans="8:9">
      <c r="H977" t="s">
        <v>285</v>
      </c>
      <c r="I977" t="s">
        <v>286</v>
      </c>
    </row>
    <row r="978" spans="8:9">
      <c r="H978" t="s">
        <v>285</v>
      </c>
      <c r="I978" t="s">
        <v>164</v>
      </c>
    </row>
    <row r="979" spans="8:9">
      <c r="H979" t="s">
        <v>285</v>
      </c>
      <c r="I979" t="s">
        <v>165</v>
      </c>
    </row>
    <row r="980" spans="8:9">
      <c r="H980" t="s">
        <v>285</v>
      </c>
      <c r="I980" t="s">
        <v>166</v>
      </c>
    </row>
    <row r="981" spans="8:9">
      <c r="H981" t="s">
        <v>285</v>
      </c>
      <c r="I981" t="s">
        <v>167</v>
      </c>
    </row>
    <row r="982" spans="8:9">
      <c r="H982" t="s">
        <v>285</v>
      </c>
      <c r="I982" t="s">
        <v>222</v>
      </c>
    </row>
    <row r="983" spans="8:9">
      <c r="H983" t="s">
        <v>285</v>
      </c>
      <c r="I983" t="s">
        <v>168</v>
      </c>
    </row>
    <row r="984" spans="8:9">
      <c r="H984" t="s">
        <v>285</v>
      </c>
      <c r="I984" t="s">
        <v>169</v>
      </c>
    </row>
    <row r="985" spans="8:9">
      <c r="H985" t="s">
        <v>285</v>
      </c>
      <c r="I985" t="s">
        <v>170</v>
      </c>
    </row>
    <row r="986" spans="8:9">
      <c r="H986" t="s">
        <v>285</v>
      </c>
      <c r="I986" t="s">
        <v>171</v>
      </c>
    </row>
    <row r="987" spans="8:9">
      <c r="H987" t="s">
        <v>285</v>
      </c>
      <c r="I987" t="s">
        <v>172</v>
      </c>
    </row>
    <row r="988" spans="8:9">
      <c r="H988" t="s">
        <v>285</v>
      </c>
      <c r="I988" t="s">
        <v>71</v>
      </c>
    </row>
    <row r="989" spans="8:9">
      <c r="H989" t="s">
        <v>285</v>
      </c>
      <c r="I989" t="s">
        <v>173</v>
      </c>
    </row>
    <row r="990" spans="8:9">
      <c r="H990" t="s">
        <v>285</v>
      </c>
      <c r="I990" t="s">
        <v>75</v>
      </c>
    </row>
    <row r="991" spans="8:9">
      <c r="H991" t="s">
        <v>285</v>
      </c>
      <c r="I991" t="s">
        <v>174</v>
      </c>
    </row>
    <row r="992" spans="8:9">
      <c r="H992" t="s">
        <v>285</v>
      </c>
      <c r="I992" t="s">
        <v>88</v>
      </c>
    </row>
    <row r="993" spans="8:9">
      <c r="H993" t="s">
        <v>285</v>
      </c>
      <c r="I993" t="s">
        <v>89</v>
      </c>
    </row>
    <row r="994" spans="8:9">
      <c r="H994" t="s">
        <v>285</v>
      </c>
      <c r="I994" t="s">
        <v>175</v>
      </c>
    </row>
    <row r="995" spans="8:9">
      <c r="H995" t="s">
        <v>285</v>
      </c>
      <c r="I995" t="s">
        <v>176</v>
      </c>
    </row>
    <row r="996" spans="8:9">
      <c r="H996" t="s">
        <v>285</v>
      </c>
      <c r="I996" t="s">
        <v>177</v>
      </c>
    </row>
    <row r="997" spans="8:9">
      <c r="H997" t="s">
        <v>285</v>
      </c>
      <c r="I997" t="s">
        <v>178</v>
      </c>
    </row>
    <row r="998" spans="8:9">
      <c r="H998" t="s">
        <v>285</v>
      </c>
      <c r="I998" t="s">
        <v>179</v>
      </c>
    </row>
    <row r="999" spans="8:9">
      <c r="H999" t="s">
        <v>285</v>
      </c>
      <c r="I999" t="s">
        <v>119</v>
      </c>
    </row>
    <row r="1000" spans="8:9">
      <c r="H1000" t="s">
        <v>285</v>
      </c>
      <c r="I1000" t="s">
        <v>180</v>
      </c>
    </row>
    <row r="1001" spans="8:9">
      <c r="H1001" t="s">
        <v>285</v>
      </c>
      <c r="I1001" t="s">
        <v>181</v>
      </c>
    </row>
    <row r="1002" spans="8:9">
      <c r="H1002" t="s">
        <v>285</v>
      </c>
      <c r="I1002" t="s">
        <v>182</v>
      </c>
    </row>
    <row r="1003" spans="8:9">
      <c r="H1003" t="s">
        <v>285</v>
      </c>
      <c r="I1003" t="s">
        <v>183</v>
      </c>
    </row>
    <row r="1004" spans="8:9">
      <c r="H1004" t="s">
        <v>285</v>
      </c>
      <c r="I1004" t="s">
        <v>184</v>
      </c>
    </row>
    <row r="1005" spans="8:9">
      <c r="H1005" t="s">
        <v>285</v>
      </c>
      <c r="I1005" t="s">
        <v>126</v>
      </c>
    </row>
    <row r="1006" spans="8:9">
      <c r="H1006" t="s">
        <v>285</v>
      </c>
      <c r="I1006" t="s">
        <v>185</v>
      </c>
    </row>
    <row r="1007" spans="8:9">
      <c r="H1007" t="s">
        <v>285</v>
      </c>
      <c r="I1007" t="s">
        <v>131</v>
      </c>
    </row>
    <row r="1008" spans="8:9">
      <c r="H1008" t="s">
        <v>285</v>
      </c>
      <c r="I1008" t="s">
        <v>186</v>
      </c>
    </row>
    <row r="1009" spans="8:9">
      <c r="H1009" t="s">
        <v>285</v>
      </c>
      <c r="I1009" t="s">
        <v>187</v>
      </c>
    </row>
    <row r="1010" spans="8:9">
      <c r="H1010" t="s">
        <v>285</v>
      </c>
      <c r="I1010" t="s">
        <v>188</v>
      </c>
    </row>
    <row r="1011" spans="8:9">
      <c r="H1011" t="s">
        <v>285</v>
      </c>
      <c r="I1011" t="s">
        <v>189</v>
      </c>
    </row>
    <row r="1012" spans="8:9">
      <c r="H1012" t="s">
        <v>285</v>
      </c>
      <c r="I1012" t="s">
        <v>190</v>
      </c>
    </row>
    <row r="1013" spans="8:9">
      <c r="H1013" t="s">
        <v>287</v>
      </c>
      <c r="I1013" t="s">
        <v>144</v>
      </c>
    </row>
    <row r="1014" spans="8:9">
      <c r="H1014" t="s">
        <v>287</v>
      </c>
      <c r="I1014" t="s">
        <v>145</v>
      </c>
    </row>
    <row r="1015" spans="8:9">
      <c r="H1015" t="s">
        <v>287</v>
      </c>
      <c r="I1015" t="s">
        <v>146</v>
      </c>
    </row>
    <row r="1016" spans="8:9">
      <c r="H1016" t="s">
        <v>287</v>
      </c>
      <c r="I1016" t="s">
        <v>288</v>
      </c>
    </row>
    <row r="1017" spans="8:9">
      <c r="H1017" t="s">
        <v>287</v>
      </c>
      <c r="I1017" t="s">
        <v>149</v>
      </c>
    </row>
    <row r="1018" spans="8:9">
      <c r="H1018" t="s">
        <v>287</v>
      </c>
      <c r="I1018" t="s">
        <v>150</v>
      </c>
    </row>
    <row r="1019" spans="8:9">
      <c r="H1019" t="s">
        <v>287</v>
      </c>
      <c r="I1019" t="s">
        <v>151</v>
      </c>
    </row>
    <row r="1020" spans="8:9">
      <c r="H1020" t="s">
        <v>287</v>
      </c>
      <c r="I1020" t="s">
        <v>152</v>
      </c>
    </row>
    <row r="1021" spans="8:9">
      <c r="H1021" t="s">
        <v>287</v>
      </c>
      <c r="I1021" t="s">
        <v>154</v>
      </c>
    </row>
    <row r="1022" spans="8:9">
      <c r="H1022" t="s">
        <v>287</v>
      </c>
      <c r="I1022" t="s">
        <v>155</v>
      </c>
    </row>
    <row r="1023" spans="8:9">
      <c r="H1023" t="s">
        <v>287</v>
      </c>
      <c r="I1023" t="s">
        <v>158</v>
      </c>
    </row>
    <row r="1024" spans="8:9">
      <c r="H1024" t="s">
        <v>287</v>
      </c>
      <c r="I1024" t="s">
        <v>160</v>
      </c>
    </row>
    <row r="1025" spans="1:9">
      <c r="H1025" t="s">
        <v>287</v>
      </c>
      <c r="I1025" t="s">
        <v>163</v>
      </c>
    </row>
    <row r="1026" spans="1:9">
      <c r="H1026" t="s">
        <v>287</v>
      </c>
      <c r="I1026" t="s">
        <v>164</v>
      </c>
    </row>
    <row r="1027" spans="1:9">
      <c r="H1027" t="s">
        <v>287</v>
      </c>
      <c r="I1027" t="s">
        <v>165</v>
      </c>
    </row>
    <row r="1028" spans="1:9">
      <c r="H1028" t="s">
        <v>287</v>
      </c>
      <c r="I1028" t="s">
        <v>166</v>
      </c>
    </row>
    <row r="1029" spans="1:9">
      <c r="H1029" t="s">
        <v>287</v>
      </c>
      <c r="I1029" t="s">
        <v>222</v>
      </c>
    </row>
    <row r="1030" spans="1:9">
      <c r="H1030" t="s">
        <v>287</v>
      </c>
      <c r="I1030" t="s">
        <v>173</v>
      </c>
    </row>
    <row r="1031" spans="1:9">
      <c r="A1031" s="33"/>
      <c r="B1031" s="33"/>
      <c r="H1031" t="s">
        <v>287</v>
      </c>
      <c r="I1031" t="s">
        <v>174</v>
      </c>
    </row>
    <row r="1032" spans="1:9">
      <c r="A1032" s="33"/>
      <c r="B1032" s="33"/>
      <c r="H1032" t="s">
        <v>287</v>
      </c>
      <c r="I1032" t="s">
        <v>88</v>
      </c>
    </row>
    <row r="1033" spans="1:9">
      <c r="A1033" s="33"/>
      <c r="B1033" s="33"/>
      <c r="H1033" t="s">
        <v>287</v>
      </c>
      <c r="I1033" t="s">
        <v>89</v>
      </c>
    </row>
    <row r="1034" spans="1:9">
      <c r="A1034" s="33"/>
      <c r="B1034" s="33"/>
      <c r="H1034" t="s">
        <v>287</v>
      </c>
      <c r="I1034" t="s">
        <v>176</v>
      </c>
    </row>
    <row r="1035" spans="1:9">
      <c r="A1035" s="33"/>
      <c r="B1035" s="33"/>
      <c r="H1035" t="s">
        <v>287</v>
      </c>
      <c r="I1035" t="s">
        <v>289</v>
      </c>
    </row>
    <row r="1036" spans="1:9">
      <c r="A1036" s="33"/>
      <c r="B1036" s="33"/>
      <c r="H1036" t="s">
        <v>287</v>
      </c>
      <c r="I1036" t="s">
        <v>177</v>
      </c>
    </row>
    <row r="1037" spans="1:9">
      <c r="A1037" s="33"/>
      <c r="B1037" s="33"/>
      <c r="H1037" t="s">
        <v>287</v>
      </c>
      <c r="I1037" t="s">
        <v>179</v>
      </c>
    </row>
    <row r="1038" spans="1:9">
      <c r="A1038" s="33"/>
      <c r="B1038" s="33"/>
      <c r="H1038" t="s">
        <v>287</v>
      </c>
      <c r="I1038" t="s">
        <v>119</v>
      </c>
    </row>
    <row r="1039" spans="1:9">
      <c r="A1039" s="33"/>
      <c r="B1039" s="33"/>
      <c r="H1039" t="s">
        <v>287</v>
      </c>
      <c r="I1039" t="s">
        <v>184</v>
      </c>
    </row>
    <row r="1040" spans="1:9">
      <c r="A1040" s="33"/>
      <c r="B1040" s="33"/>
      <c r="H1040" t="s">
        <v>287</v>
      </c>
      <c r="I1040" t="s">
        <v>126</v>
      </c>
    </row>
    <row r="1041" spans="1:9">
      <c r="A1041" s="33"/>
      <c r="B1041" s="33"/>
      <c r="H1041" t="s">
        <v>287</v>
      </c>
      <c r="I1041" t="s">
        <v>131</v>
      </c>
    </row>
    <row r="1042" spans="1:9">
      <c r="A1042" s="33"/>
      <c r="B1042" s="33"/>
      <c r="H1042" t="s">
        <v>287</v>
      </c>
      <c r="I1042" t="s">
        <v>187</v>
      </c>
    </row>
    <row r="1043" spans="1:9">
      <c r="A1043" s="33"/>
      <c r="B1043" s="33"/>
      <c r="H1043" t="s">
        <v>287</v>
      </c>
      <c r="I1043" t="s">
        <v>189</v>
      </c>
    </row>
    <row r="1044" spans="1:9">
      <c r="A1044" s="33"/>
      <c r="B1044" s="33"/>
      <c r="H1044" t="s">
        <v>287</v>
      </c>
      <c r="I1044" t="s">
        <v>190</v>
      </c>
    </row>
    <row r="1045" spans="1:9">
      <c r="A1045" s="33"/>
      <c r="B1045" s="33"/>
    </row>
    <row r="1046" spans="1:9">
      <c r="A1046" s="33"/>
      <c r="B1046" s="33"/>
    </row>
    <row r="1047" spans="1:9">
      <c r="A1047" s="33"/>
      <c r="B1047" s="33"/>
    </row>
    <row r="1048" spans="1:9">
      <c r="A1048" s="33"/>
      <c r="B1048" s="33"/>
    </row>
    <row r="1049" spans="1:9">
      <c r="A1049" s="33"/>
      <c r="B1049" s="33"/>
    </row>
    <row r="1050" spans="1:9">
      <c r="A1050" s="33"/>
      <c r="B1050" s="33"/>
    </row>
    <row r="1051" spans="1:9">
      <c r="A1051" s="33"/>
      <c r="B1051" s="33"/>
    </row>
    <row r="1052" spans="1:9">
      <c r="A1052" s="33"/>
      <c r="B1052" s="33"/>
    </row>
    <row r="1053" spans="1:9">
      <c r="A1053" s="33"/>
      <c r="B1053" s="33"/>
    </row>
    <row r="1054" spans="1:9">
      <c r="A1054" s="33"/>
      <c r="B1054" s="33"/>
    </row>
    <row r="1055" spans="1:9">
      <c r="A1055" s="33"/>
      <c r="B1055" s="33"/>
    </row>
    <row r="1056" spans="1:9">
      <c r="A1056" s="33"/>
      <c r="B1056" s="33"/>
    </row>
    <row r="1057" spans="1:2">
      <c r="A1057" s="33"/>
      <c r="B1057" s="33"/>
    </row>
    <row r="1058" spans="1:2">
      <c r="A1058" s="33"/>
      <c r="B1058" s="33"/>
    </row>
    <row r="1059" spans="1:2">
      <c r="A1059" s="33"/>
      <c r="B1059" s="33"/>
    </row>
    <row r="1060" spans="1:2">
      <c r="A1060" s="33"/>
      <c r="B1060" s="33"/>
    </row>
    <row r="1061" spans="1:2">
      <c r="A1061" s="33"/>
      <c r="B1061" s="33"/>
    </row>
    <row r="1062" spans="1:2">
      <c r="A1062" s="33"/>
      <c r="B1062" s="33"/>
    </row>
    <row r="1063" spans="1:2">
      <c r="A1063" s="33"/>
      <c r="B1063" s="33"/>
    </row>
    <row r="1064" spans="1:2">
      <c r="A1064" s="33"/>
      <c r="B1064" s="33"/>
    </row>
    <row r="1065" spans="1:2">
      <c r="A1065" s="33"/>
      <c r="B1065" s="33"/>
    </row>
    <row r="1066" spans="1:2">
      <c r="A1066" s="33"/>
      <c r="B1066" s="33"/>
    </row>
    <row r="1067" spans="1:2">
      <c r="A1067" s="33"/>
      <c r="B1067" s="33"/>
    </row>
    <row r="1068" spans="1:2">
      <c r="A1068" s="33"/>
      <c r="B1068" s="33"/>
    </row>
    <row r="1069" spans="1:2">
      <c r="A1069" s="33"/>
      <c r="B1069" s="33"/>
    </row>
    <row r="1070" spans="1:2">
      <c r="A1070" s="33"/>
      <c r="B1070" s="33"/>
    </row>
    <row r="1071" spans="1:2">
      <c r="A1071" s="33"/>
      <c r="B1071" s="33"/>
    </row>
    <row r="1072" spans="1:2">
      <c r="A1072" s="33"/>
      <c r="B1072" s="33"/>
    </row>
    <row r="1073" spans="1:2">
      <c r="A1073" s="33"/>
      <c r="B1073" s="33"/>
    </row>
    <row r="1074" spans="1:2">
      <c r="A1074" s="33"/>
      <c r="B1074" s="33"/>
    </row>
    <row r="1075" spans="1:2">
      <c r="A1075" s="33"/>
      <c r="B1075" s="33"/>
    </row>
    <row r="1076" spans="1:2">
      <c r="A1076" s="33"/>
      <c r="B1076" s="33"/>
    </row>
    <row r="1077" spans="1:2">
      <c r="A1077" s="33"/>
      <c r="B1077" s="33"/>
    </row>
    <row r="1078" spans="1:2">
      <c r="A1078" s="33"/>
      <c r="B1078" s="33"/>
    </row>
    <row r="1079" spans="1:2">
      <c r="A1079" s="33"/>
      <c r="B1079" s="33"/>
    </row>
    <row r="1080" spans="1:2">
      <c r="A1080" s="33"/>
      <c r="B1080" s="33"/>
    </row>
    <row r="1081" spans="1:2">
      <c r="A1081" s="33"/>
      <c r="B1081" s="33"/>
    </row>
    <row r="1082" spans="1:2">
      <c r="A1082" s="33"/>
      <c r="B1082" s="33"/>
    </row>
    <row r="1083" spans="1:2">
      <c r="A1083" s="33"/>
      <c r="B1083" s="33"/>
    </row>
    <row r="1084" spans="1:2">
      <c r="A1084" s="33"/>
      <c r="B1084" s="33"/>
    </row>
    <row r="1085" spans="1:2">
      <c r="A1085" s="33"/>
      <c r="B1085" s="33"/>
    </row>
    <row r="1086" spans="1:2">
      <c r="A1086" s="33"/>
      <c r="B1086" s="33"/>
    </row>
    <row r="1087" spans="1:2">
      <c r="A1087" s="33"/>
      <c r="B1087" s="33"/>
    </row>
    <row r="1088" spans="1:2">
      <c r="A1088" s="33"/>
      <c r="B1088" s="33"/>
    </row>
    <row r="1089" spans="1:2">
      <c r="A1089" s="33"/>
      <c r="B1089" s="33"/>
    </row>
    <row r="1090" spans="1:2">
      <c r="A1090" s="33"/>
      <c r="B1090" s="33"/>
    </row>
    <row r="1091" spans="1:2">
      <c r="A1091" s="33"/>
      <c r="B1091" s="33"/>
    </row>
    <row r="1092" spans="1:2">
      <c r="A1092" s="33"/>
      <c r="B1092" s="33"/>
    </row>
    <row r="1093" spans="1:2">
      <c r="A1093" s="33"/>
      <c r="B1093" s="33"/>
    </row>
    <row r="1094" spans="1:2">
      <c r="A1094" s="33"/>
      <c r="B1094" s="33"/>
    </row>
    <row r="1095" spans="1:2">
      <c r="A1095" s="33"/>
      <c r="B1095" s="33"/>
    </row>
    <row r="1096" spans="1:2">
      <c r="A1096" s="33"/>
      <c r="B1096" s="33"/>
    </row>
    <row r="1097" spans="1:2">
      <c r="A1097" s="33"/>
      <c r="B1097" s="33"/>
    </row>
    <row r="1098" spans="1:2">
      <c r="A1098" s="33"/>
      <c r="B1098" s="33"/>
    </row>
    <row r="1099" spans="1:2">
      <c r="A1099" s="33"/>
      <c r="B1099" s="33"/>
    </row>
    <row r="1100" spans="1:2">
      <c r="A1100" s="33"/>
      <c r="B1100" s="33"/>
    </row>
    <row r="1101" spans="1:2">
      <c r="A1101" s="33"/>
      <c r="B1101" s="33"/>
    </row>
    <row r="1102" spans="1:2">
      <c r="A1102" s="33"/>
      <c r="B1102" s="33"/>
    </row>
    <row r="1103" spans="1:2">
      <c r="A1103" s="33"/>
      <c r="B1103" s="33"/>
    </row>
    <row r="1104" spans="1:2">
      <c r="A1104" s="33"/>
      <c r="B1104" s="33"/>
    </row>
    <row r="1105" spans="1:2">
      <c r="A1105" s="33"/>
      <c r="B1105" s="33"/>
    </row>
    <row r="1106" spans="1:2">
      <c r="A1106" s="33"/>
      <c r="B1106" s="33"/>
    </row>
    <row r="1107" spans="1:2">
      <c r="A1107" s="33"/>
      <c r="B1107" s="33"/>
    </row>
    <row r="1108" spans="1:2">
      <c r="A1108" s="33"/>
      <c r="B1108" s="33"/>
    </row>
    <row r="1109" spans="1:2">
      <c r="A1109" s="33"/>
      <c r="B1109" s="33"/>
    </row>
    <row r="1110" spans="1:2">
      <c r="A1110" s="33"/>
      <c r="B1110" s="33"/>
    </row>
    <row r="1111" spans="1:2">
      <c r="A1111" s="33"/>
      <c r="B1111" s="33"/>
    </row>
    <row r="1112" spans="1:2">
      <c r="A1112" s="33"/>
      <c r="B1112" s="33"/>
    </row>
    <row r="1113" spans="1:2">
      <c r="A1113" s="33"/>
      <c r="B1113" s="33"/>
    </row>
    <row r="1114" spans="1:2">
      <c r="A1114" s="33"/>
      <c r="B1114" s="33"/>
    </row>
    <row r="1115" spans="1:2">
      <c r="A1115" s="33"/>
      <c r="B1115" s="33"/>
    </row>
    <row r="1116" spans="1:2">
      <c r="A1116" s="33"/>
      <c r="B1116" s="33"/>
    </row>
    <row r="1117" spans="1:2">
      <c r="A1117" s="33"/>
      <c r="B1117" s="33"/>
    </row>
    <row r="1118" spans="1:2">
      <c r="A1118" s="33"/>
      <c r="B1118" s="33"/>
    </row>
    <row r="1119" spans="1:2">
      <c r="A1119" s="33"/>
      <c r="B1119" s="33"/>
    </row>
    <row r="1120" spans="1:2">
      <c r="A1120" s="33"/>
      <c r="B1120" s="33"/>
    </row>
    <row r="1121" spans="1:2">
      <c r="A1121" s="33"/>
      <c r="B1121" s="33"/>
    </row>
    <row r="1122" spans="1:2">
      <c r="A1122" s="33"/>
      <c r="B1122" s="33"/>
    </row>
    <row r="1123" spans="1:2">
      <c r="A1123" s="33"/>
      <c r="B1123" s="33"/>
    </row>
    <row r="1124" spans="1:2">
      <c r="A1124" s="33"/>
      <c r="B1124" s="33"/>
    </row>
    <row r="1125" spans="1:2">
      <c r="A1125" s="33"/>
      <c r="B1125" s="33"/>
    </row>
    <row r="1126" spans="1:2">
      <c r="A1126" s="33"/>
      <c r="B1126" s="33"/>
    </row>
    <row r="1127" spans="1:2">
      <c r="A1127" s="33"/>
      <c r="B1127" s="33"/>
    </row>
    <row r="1128" spans="1:2">
      <c r="A1128" s="33"/>
      <c r="B1128" s="33"/>
    </row>
    <row r="1129" spans="1:2">
      <c r="A1129" s="33"/>
      <c r="B1129" s="33"/>
    </row>
    <row r="1130" spans="1:2">
      <c r="A1130" s="33"/>
      <c r="B1130" s="33"/>
    </row>
    <row r="1131" spans="1:2">
      <c r="A1131" s="33"/>
      <c r="B1131" s="33"/>
    </row>
    <row r="1132" spans="1:2">
      <c r="A1132" s="33"/>
      <c r="B1132" s="33"/>
    </row>
    <row r="1133" spans="1:2">
      <c r="A1133" s="33"/>
      <c r="B1133" s="33"/>
    </row>
    <row r="1134" spans="1:2">
      <c r="A1134" s="33"/>
      <c r="B1134" s="33"/>
    </row>
    <row r="1135" spans="1:2">
      <c r="A1135" s="33"/>
      <c r="B1135" s="33"/>
    </row>
    <row r="1136" spans="1:2">
      <c r="A1136" s="33"/>
      <c r="B1136" s="33"/>
    </row>
    <row r="1137" spans="1:2">
      <c r="A1137" s="33"/>
      <c r="B1137" s="33"/>
    </row>
    <row r="1138" spans="1:2">
      <c r="A1138" s="33"/>
      <c r="B1138" s="33"/>
    </row>
    <row r="1139" spans="1:2">
      <c r="A1139" s="33"/>
      <c r="B1139" s="33"/>
    </row>
    <row r="1140" spans="1:2">
      <c r="A1140" s="33"/>
      <c r="B1140" s="33"/>
    </row>
    <row r="1141" spans="1:2">
      <c r="A1141" s="33"/>
      <c r="B1141" s="33"/>
    </row>
    <row r="1142" spans="1:2">
      <c r="A1142" s="33"/>
      <c r="B1142" s="33"/>
    </row>
    <row r="1143" spans="1:2">
      <c r="A1143" s="33"/>
      <c r="B1143" s="33"/>
    </row>
    <row r="1144" spans="1:2">
      <c r="A1144" s="33"/>
      <c r="B1144" s="33"/>
    </row>
    <row r="1145" spans="1:2">
      <c r="A1145" s="33"/>
      <c r="B1145" s="33"/>
    </row>
    <row r="1146" spans="1:2">
      <c r="A1146" s="33"/>
      <c r="B1146" s="33"/>
    </row>
    <row r="1147" spans="1:2">
      <c r="A1147" s="33"/>
      <c r="B1147" s="33"/>
    </row>
    <row r="1148" spans="1:2">
      <c r="A1148" s="33"/>
      <c r="B1148" s="33"/>
    </row>
    <row r="1149" spans="1:2">
      <c r="A1149" s="33"/>
      <c r="B1149" s="33"/>
    </row>
    <row r="1150" spans="1:2">
      <c r="A1150" s="33"/>
      <c r="B1150" s="33"/>
    </row>
    <row r="1151" spans="1:2">
      <c r="A1151" s="33"/>
      <c r="B1151" s="33"/>
    </row>
    <row r="1152" spans="1:2">
      <c r="A1152" s="33"/>
      <c r="B1152" s="33"/>
    </row>
    <row r="1153" spans="1:2">
      <c r="A1153" s="33"/>
      <c r="B1153" s="33"/>
    </row>
    <row r="1154" spans="1:2">
      <c r="A1154" s="33"/>
      <c r="B1154" s="33"/>
    </row>
    <row r="1155" spans="1:2">
      <c r="A1155" s="33"/>
      <c r="B1155" s="33"/>
    </row>
    <row r="1156" spans="1:2">
      <c r="A1156" s="33"/>
      <c r="B1156" s="33"/>
    </row>
    <row r="1157" spans="1:2">
      <c r="A1157" s="33"/>
      <c r="B1157" s="33"/>
    </row>
    <row r="1158" spans="1:2">
      <c r="A1158" s="33"/>
      <c r="B1158" s="33"/>
    </row>
    <row r="1159" spans="1:2">
      <c r="A1159" s="33"/>
      <c r="B1159" s="33"/>
    </row>
    <row r="1160" spans="1:2">
      <c r="A1160" s="33"/>
      <c r="B1160" s="33"/>
    </row>
    <row r="1161" spans="1:2">
      <c r="A1161" s="33"/>
      <c r="B1161" s="33"/>
    </row>
    <row r="1162" spans="1:2">
      <c r="A1162" s="33"/>
      <c r="B1162" s="33"/>
    </row>
    <row r="1163" spans="1:2">
      <c r="A1163" s="33"/>
      <c r="B1163" s="33"/>
    </row>
    <row r="1164" spans="1:2">
      <c r="A1164" s="33"/>
      <c r="B1164" s="33"/>
    </row>
    <row r="1165" spans="1:2">
      <c r="A1165" s="33"/>
      <c r="B1165" s="33"/>
    </row>
    <row r="1166" spans="1:2">
      <c r="A1166" s="33"/>
      <c r="B1166" s="33"/>
    </row>
    <row r="1167" spans="1:2">
      <c r="A1167" s="33"/>
      <c r="B1167" s="33"/>
    </row>
    <row r="1168" spans="1:2">
      <c r="A1168" s="33"/>
      <c r="B1168" s="33"/>
    </row>
    <row r="1169" spans="1:2">
      <c r="A1169" s="33"/>
      <c r="B1169" s="33"/>
    </row>
    <row r="1170" spans="1:2">
      <c r="A1170" s="33"/>
      <c r="B1170" s="33"/>
    </row>
    <row r="1171" spans="1:2">
      <c r="A1171" s="33"/>
      <c r="B1171" s="33"/>
    </row>
    <row r="1172" spans="1:2">
      <c r="A1172" s="33"/>
      <c r="B1172" s="33"/>
    </row>
    <row r="1173" spans="1:2">
      <c r="A1173" s="33"/>
      <c r="B1173" s="33"/>
    </row>
    <row r="1174" spans="1:2">
      <c r="A1174" s="33"/>
      <c r="B1174" s="33"/>
    </row>
    <row r="1175" spans="1:2">
      <c r="A1175" s="33"/>
      <c r="B1175" s="33"/>
    </row>
    <row r="1176" spans="1:2">
      <c r="A1176" s="33"/>
      <c r="B1176" s="33"/>
    </row>
    <row r="1177" spans="1:2">
      <c r="A1177" s="33"/>
      <c r="B1177" s="33"/>
    </row>
    <row r="1178" spans="1:2">
      <c r="A1178" s="33"/>
      <c r="B1178" s="33"/>
    </row>
    <row r="1179" spans="1:2">
      <c r="A1179" s="33"/>
      <c r="B1179" s="33"/>
    </row>
    <row r="1180" spans="1:2">
      <c r="A1180" s="33"/>
      <c r="B1180" s="33"/>
    </row>
    <row r="1181" spans="1:2">
      <c r="A1181" s="33"/>
      <c r="B1181" s="33"/>
    </row>
    <row r="1182" spans="1:2">
      <c r="A1182" s="33"/>
      <c r="B1182" s="33"/>
    </row>
    <row r="1183" spans="1:2">
      <c r="A1183" s="33"/>
      <c r="B1183" s="33"/>
    </row>
    <row r="1184" spans="1:2">
      <c r="A1184" s="33"/>
      <c r="B1184" s="33"/>
    </row>
    <row r="1185" spans="1:2">
      <c r="A1185" s="33"/>
      <c r="B1185" s="33"/>
    </row>
    <row r="1186" spans="1:2">
      <c r="A1186" s="33"/>
      <c r="B1186" s="33"/>
    </row>
    <row r="1187" spans="1:2">
      <c r="A1187" s="33"/>
      <c r="B1187" s="33"/>
    </row>
    <row r="1188" spans="1:2">
      <c r="A1188" s="33"/>
      <c r="B1188" s="33"/>
    </row>
    <row r="1189" spans="1:2">
      <c r="A1189" s="33"/>
      <c r="B1189" s="33"/>
    </row>
    <row r="1190" spans="1:2">
      <c r="A1190" s="33"/>
      <c r="B1190" s="33"/>
    </row>
    <row r="1191" spans="1:2">
      <c r="A1191" s="33"/>
      <c r="B1191" s="33"/>
    </row>
    <row r="1192" spans="1:2">
      <c r="A1192" s="33"/>
      <c r="B1192" s="33"/>
    </row>
    <row r="1193" spans="1:2">
      <c r="A1193" s="33"/>
      <c r="B1193" s="33"/>
    </row>
    <row r="1194" spans="1:2">
      <c r="A1194" s="33"/>
      <c r="B1194" s="33"/>
    </row>
    <row r="1195" spans="1:2">
      <c r="A1195" s="33"/>
      <c r="B1195" s="33"/>
    </row>
    <row r="1196" spans="1:2">
      <c r="A1196" s="33"/>
      <c r="B1196" s="33"/>
    </row>
    <row r="1197" spans="1:2">
      <c r="A1197" s="33"/>
      <c r="B1197" s="33"/>
    </row>
    <row r="1198" spans="1:2">
      <c r="A1198" s="33"/>
      <c r="B1198" s="33"/>
    </row>
    <row r="1199" spans="1:2">
      <c r="A1199" s="33"/>
      <c r="B1199" s="33"/>
    </row>
    <row r="1200" spans="1:2">
      <c r="A1200" s="33"/>
      <c r="B1200" s="33"/>
    </row>
    <row r="1201" spans="1:2">
      <c r="A1201" s="33"/>
      <c r="B1201" s="33"/>
    </row>
    <row r="1202" spans="1:2">
      <c r="A1202" s="33"/>
      <c r="B1202" s="33"/>
    </row>
    <row r="1203" spans="1:2">
      <c r="A1203" s="33"/>
      <c r="B1203" s="33"/>
    </row>
    <row r="1204" spans="1:2">
      <c r="A1204" s="33"/>
      <c r="B1204" s="33"/>
    </row>
    <row r="1205" spans="1:2">
      <c r="A1205" s="33"/>
      <c r="B1205" s="33"/>
    </row>
    <row r="1206" spans="1:2">
      <c r="A1206" s="33"/>
      <c r="B1206" s="33"/>
    </row>
    <row r="1207" spans="1:2">
      <c r="A1207" s="33"/>
      <c r="B1207" s="33"/>
    </row>
    <row r="1208" spans="1:2">
      <c r="A1208" s="33"/>
      <c r="B1208" s="33"/>
    </row>
    <row r="1209" spans="1:2">
      <c r="A1209" s="33"/>
      <c r="B1209" s="33"/>
    </row>
    <row r="1210" spans="1:2">
      <c r="A1210" s="33"/>
      <c r="B1210" s="33"/>
    </row>
    <row r="1211" spans="1:2">
      <c r="A1211" s="33"/>
      <c r="B1211" s="33"/>
    </row>
    <row r="1212" spans="1:2">
      <c r="A1212" s="33"/>
      <c r="B1212" s="33"/>
    </row>
    <row r="1213" spans="1:2">
      <c r="A1213" s="33"/>
      <c r="B1213" s="33"/>
    </row>
    <row r="1214" spans="1:2">
      <c r="A1214" s="33"/>
      <c r="B1214" s="33"/>
    </row>
    <row r="1215" spans="1:2">
      <c r="A1215" s="33"/>
      <c r="B1215" s="33"/>
    </row>
    <row r="1216" spans="1:2">
      <c r="A1216" s="33"/>
      <c r="B1216" s="33"/>
    </row>
    <row r="1217" spans="1:2">
      <c r="A1217" s="33"/>
      <c r="B1217" s="33"/>
    </row>
    <row r="1218" spans="1:2">
      <c r="A1218" s="33"/>
      <c r="B1218" s="33"/>
    </row>
    <row r="1219" spans="1:2">
      <c r="A1219" s="33"/>
      <c r="B1219" s="33"/>
    </row>
    <row r="1220" spans="1:2">
      <c r="A1220" s="33"/>
      <c r="B1220" s="33"/>
    </row>
    <row r="1221" spans="1:2">
      <c r="A1221" s="33"/>
      <c r="B1221" s="33"/>
    </row>
    <row r="1222" spans="1:2">
      <c r="A1222" s="33"/>
      <c r="B1222" s="33"/>
    </row>
    <row r="1223" spans="1:2">
      <c r="A1223" s="33"/>
      <c r="B1223" s="33"/>
    </row>
    <row r="1224" spans="1:2">
      <c r="A1224" s="33"/>
      <c r="B1224" s="33"/>
    </row>
    <row r="1225" spans="1:2">
      <c r="A1225" s="33"/>
      <c r="B1225" s="33"/>
    </row>
    <row r="1226" spans="1:2">
      <c r="A1226" s="33"/>
      <c r="B1226" s="33"/>
    </row>
    <row r="1227" spans="1:2">
      <c r="A1227" s="33"/>
      <c r="B1227" s="33"/>
    </row>
    <row r="1228" spans="1:2">
      <c r="A1228" s="33"/>
      <c r="B1228" s="33"/>
    </row>
    <row r="1229" spans="1:2">
      <c r="A1229" s="33"/>
      <c r="B1229" s="33"/>
    </row>
    <row r="1230" spans="1:2">
      <c r="A1230" s="33"/>
      <c r="B1230" s="33"/>
    </row>
    <row r="1231" spans="1:2">
      <c r="A1231" s="33"/>
      <c r="B1231" s="33"/>
    </row>
    <row r="1232" spans="1:2">
      <c r="A1232" s="33"/>
      <c r="B1232" s="33"/>
    </row>
    <row r="1233" spans="1:2">
      <c r="A1233" s="33"/>
      <c r="B1233" s="33"/>
    </row>
    <row r="1234" spans="1:2">
      <c r="A1234" s="33"/>
      <c r="B1234" s="33"/>
    </row>
    <row r="1235" spans="1:2">
      <c r="A1235" s="33"/>
      <c r="B1235" s="33"/>
    </row>
    <row r="1236" spans="1:2">
      <c r="A1236" s="33"/>
      <c r="B1236" s="33"/>
    </row>
    <row r="1237" spans="1:2">
      <c r="A1237" s="33"/>
      <c r="B1237" s="33"/>
    </row>
    <row r="1238" spans="1:2">
      <c r="A1238" s="33"/>
      <c r="B1238" s="33"/>
    </row>
    <row r="1239" spans="1:2">
      <c r="A1239" s="33"/>
      <c r="B1239" s="33"/>
    </row>
    <row r="1240" spans="1:2">
      <c r="A1240" s="33"/>
      <c r="B1240" s="33"/>
    </row>
    <row r="1241" spans="1:2">
      <c r="A1241" s="33"/>
      <c r="B1241" s="33"/>
    </row>
    <row r="1242" spans="1:2">
      <c r="A1242" s="33"/>
      <c r="B1242" s="33"/>
    </row>
    <row r="1243" spans="1:2">
      <c r="A1243" s="33"/>
      <c r="B1243" s="33"/>
    </row>
    <row r="1244" spans="1:2">
      <c r="A1244" s="33"/>
      <c r="B1244" s="33"/>
    </row>
    <row r="1245" spans="1:2">
      <c r="A1245" s="33"/>
      <c r="B1245" s="33"/>
    </row>
    <row r="1246" spans="1:2">
      <c r="A1246" s="33"/>
      <c r="B1246" s="33"/>
    </row>
    <row r="1247" spans="1:2">
      <c r="A1247" s="33"/>
      <c r="B1247" s="33"/>
    </row>
    <row r="1248" spans="1:2">
      <c r="A1248" s="33"/>
      <c r="B1248" s="33"/>
    </row>
    <row r="1249" spans="1:2">
      <c r="A1249" s="33"/>
      <c r="B1249" s="33"/>
    </row>
    <row r="1250" spans="1:2">
      <c r="A1250" s="33"/>
      <c r="B1250" s="33"/>
    </row>
    <row r="1251" spans="1:2">
      <c r="A1251" s="33"/>
      <c r="B1251" s="33"/>
    </row>
    <row r="1252" spans="1:2">
      <c r="A1252" s="33"/>
      <c r="B1252" s="33"/>
    </row>
    <row r="1253" spans="1:2">
      <c r="A1253" s="33"/>
      <c r="B1253" s="33"/>
    </row>
    <row r="1254" spans="1:2">
      <c r="A1254" s="33"/>
      <c r="B1254" s="33"/>
    </row>
    <row r="1255" spans="1:2">
      <c r="A1255" s="33"/>
      <c r="B1255" s="33"/>
    </row>
    <row r="1256" spans="1:2">
      <c r="A1256" s="33"/>
      <c r="B1256" s="33"/>
    </row>
    <row r="1257" spans="1:2">
      <c r="A1257" s="33"/>
      <c r="B1257" s="33"/>
    </row>
    <row r="1258" spans="1:2">
      <c r="A1258" s="33"/>
      <c r="B1258" s="33"/>
    </row>
    <row r="1259" spans="1:2">
      <c r="A1259" s="33"/>
      <c r="B1259" s="33"/>
    </row>
    <row r="1260" spans="1:2">
      <c r="A1260" s="33"/>
      <c r="B1260" s="33"/>
    </row>
    <row r="1261" spans="1:2">
      <c r="A1261" s="33"/>
      <c r="B1261" s="33"/>
    </row>
    <row r="1262" spans="1:2">
      <c r="A1262" s="33"/>
      <c r="B1262" s="33"/>
    </row>
    <row r="1263" spans="1:2">
      <c r="A1263" s="33"/>
      <c r="B1263" s="33"/>
    </row>
    <row r="1264" spans="1:2">
      <c r="A1264" s="33"/>
      <c r="B1264" s="33"/>
    </row>
    <row r="1265" spans="1:2">
      <c r="A1265" s="33"/>
      <c r="B1265" s="33"/>
    </row>
    <row r="1266" spans="1:2">
      <c r="A1266" s="33"/>
      <c r="B1266" s="33"/>
    </row>
    <row r="1267" spans="1:2">
      <c r="A1267" s="33"/>
      <c r="B1267" s="33"/>
    </row>
    <row r="1268" spans="1:2">
      <c r="A1268" s="33"/>
      <c r="B1268" s="33"/>
    </row>
    <row r="1269" spans="1:2">
      <c r="A1269" s="33"/>
      <c r="B1269" s="33"/>
    </row>
    <row r="1270" spans="1:2">
      <c r="A1270" s="33"/>
      <c r="B1270" s="33"/>
    </row>
    <row r="1271" spans="1:2">
      <c r="A1271" s="33"/>
      <c r="B1271" s="33"/>
    </row>
    <row r="1272" spans="1:2">
      <c r="A1272" s="33"/>
      <c r="B1272" s="33"/>
    </row>
    <row r="1273" spans="1:2">
      <c r="A1273" s="33"/>
      <c r="B1273" s="33"/>
    </row>
    <row r="1274" spans="1:2">
      <c r="A1274" s="33"/>
      <c r="B1274" s="33"/>
    </row>
    <row r="1275" spans="1:2">
      <c r="A1275" s="33"/>
      <c r="B1275" s="33"/>
    </row>
    <row r="1276" spans="1:2">
      <c r="A1276" s="33"/>
      <c r="B1276" s="33"/>
    </row>
    <row r="1277" spans="1:2">
      <c r="A1277" s="33"/>
      <c r="B1277" s="33"/>
    </row>
    <row r="1278" spans="1:2">
      <c r="A1278" s="33"/>
      <c r="B1278" s="33"/>
    </row>
    <row r="1279" spans="1:2">
      <c r="A1279" s="33"/>
      <c r="B1279" s="33"/>
    </row>
    <row r="1280" spans="1:2">
      <c r="A1280" s="33"/>
      <c r="B1280" s="33"/>
    </row>
    <row r="1281" spans="1:2">
      <c r="A1281" s="33"/>
      <c r="B1281" s="33"/>
    </row>
    <row r="1282" spans="1:2">
      <c r="A1282" s="33"/>
      <c r="B1282" s="33"/>
    </row>
    <row r="1283" spans="1:2">
      <c r="A1283" s="33"/>
      <c r="B1283" s="33"/>
    </row>
    <row r="1284" spans="1:2">
      <c r="A1284" s="33"/>
      <c r="B1284" s="33"/>
    </row>
    <row r="1285" spans="1:2">
      <c r="A1285" s="33"/>
      <c r="B1285" s="33"/>
    </row>
    <row r="1286" spans="1:2">
      <c r="A1286" s="33"/>
      <c r="B1286" s="33"/>
    </row>
    <row r="1287" spans="1:2">
      <c r="A1287" s="33"/>
      <c r="B1287" s="33"/>
    </row>
    <row r="1288" spans="1:2">
      <c r="A1288" s="33"/>
      <c r="B1288" s="33"/>
    </row>
    <row r="1289" spans="1:2">
      <c r="A1289" s="33"/>
      <c r="B1289" s="33"/>
    </row>
    <row r="1290" spans="1:2">
      <c r="A1290" s="33"/>
      <c r="B1290" s="33"/>
    </row>
    <row r="1291" spans="1:2">
      <c r="A1291" s="33"/>
      <c r="B1291" s="33"/>
    </row>
    <row r="1292" spans="1:2">
      <c r="A1292" s="33"/>
      <c r="B1292" s="33"/>
    </row>
    <row r="1293" spans="1:2">
      <c r="A1293" s="33"/>
      <c r="B1293" s="33"/>
    </row>
    <row r="1294" spans="1:2">
      <c r="A1294" s="33"/>
      <c r="B1294" s="33"/>
    </row>
    <row r="1295" spans="1:2">
      <c r="A1295" s="33"/>
      <c r="B1295" s="33"/>
    </row>
    <row r="1296" spans="1:2">
      <c r="A1296" s="33"/>
      <c r="B1296" s="33"/>
    </row>
    <row r="1297" spans="1:2">
      <c r="A1297" s="33"/>
      <c r="B1297" s="33"/>
    </row>
    <row r="1298" spans="1:2">
      <c r="A1298" s="33"/>
      <c r="B1298" s="33"/>
    </row>
    <row r="1299" spans="1:2">
      <c r="A1299" s="33"/>
      <c r="B1299" s="33"/>
    </row>
    <row r="1300" spans="1:2">
      <c r="A1300" s="33"/>
      <c r="B1300" s="33"/>
    </row>
    <row r="1301" spans="1:2">
      <c r="A1301" s="33"/>
      <c r="B1301" s="33"/>
    </row>
    <row r="1302" spans="1:2">
      <c r="A1302" s="33"/>
      <c r="B1302" s="33"/>
    </row>
    <row r="1303" spans="1:2">
      <c r="A1303" s="33"/>
      <c r="B1303" s="33"/>
    </row>
    <row r="1304" spans="1:2">
      <c r="A1304" s="33"/>
      <c r="B1304" s="33"/>
    </row>
    <row r="1305" spans="1:2">
      <c r="A1305" s="33"/>
      <c r="B1305" s="33"/>
    </row>
    <row r="1306" spans="1:2">
      <c r="A1306" s="33"/>
      <c r="B1306" s="33"/>
    </row>
    <row r="1307" spans="1:2">
      <c r="A1307" s="33"/>
      <c r="B1307" s="33"/>
    </row>
    <row r="1308" spans="1:2">
      <c r="A1308" s="33"/>
      <c r="B1308" s="33"/>
    </row>
    <row r="1309" spans="1:2">
      <c r="A1309" s="33"/>
      <c r="B1309" s="33"/>
    </row>
    <row r="1310" spans="1:2">
      <c r="A1310" s="33"/>
      <c r="B1310" s="33"/>
    </row>
    <row r="1311" spans="1:2">
      <c r="A1311" s="33"/>
      <c r="B1311" s="33"/>
    </row>
    <row r="1312" spans="1:2">
      <c r="A1312" s="33"/>
      <c r="B1312" s="33"/>
    </row>
    <row r="1313" spans="1:2">
      <c r="A1313" s="33"/>
      <c r="B1313" s="33"/>
    </row>
    <row r="1314" spans="1:2">
      <c r="A1314" s="33"/>
      <c r="B1314" s="33"/>
    </row>
    <row r="1315" spans="1:2">
      <c r="A1315" s="33"/>
      <c r="B1315" s="33"/>
    </row>
    <row r="1316" spans="1:2">
      <c r="A1316" s="33"/>
      <c r="B1316" s="33"/>
    </row>
    <row r="1317" spans="1:2">
      <c r="A1317" s="33"/>
      <c r="B1317" s="33"/>
    </row>
    <row r="1318" spans="1:2">
      <c r="A1318" s="33"/>
      <c r="B1318" s="33"/>
    </row>
    <row r="1319" spans="1:2">
      <c r="A1319" s="33"/>
      <c r="B1319" s="33"/>
    </row>
    <row r="1320" spans="1:2">
      <c r="A1320" s="33"/>
      <c r="B1320" s="33"/>
    </row>
    <row r="1321" spans="1:2">
      <c r="A1321" s="33"/>
      <c r="B1321" s="33"/>
    </row>
    <row r="1322" spans="1:2">
      <c r="A1322" s="33"/>
      <c r="B1322" s="33"/>
    </row>
    <row r="1323" spans="1:2">
      <c r="A1323" s="33"/>
      <c r="B1323" s="33"/>
    </row>
    <row r="1324" spans="1:2">
      <c r="A1324" s="33"/>
      <c r="B1324" s="33"/>
    </row>
    <row r="1325" spans="1:2">
      <c r="A1325" s="33"/>
      <c r="B1325" s="33"/>
    </row>
    <row r="1326" spans="1:2">
      <c r="A1326" s="33"/>
      <c r="B1326" s="33"/>
    </row>
    <row r="1327" spans="1:2">
      <c r="A1327" s="33"/>
      <c r="B1327" s="33"/>
    </row>
    <row r="1328" spans="1:2">
      <c r="A1328" s="33"/>
      <c r="B1328" s="33"/>
    </row>
    <row r="1329" spans="1:2">
      <c r="A1329" s="33"/>
      <c r="B1329" s="33"/>
    </row>
    <row r="1330" spans="1:2">
      <c r="A1330" s="33"/>
      <c r="B1330" s="33"/>
    </row>
    <row r="1331" spans="1:2">
      <c r="A1331" s="33"/>
      <c r="B1331" s="33"/>
    </row>
    <row r="1332" spans="1:2">
      <c r="A1332" s="33"/>
      <c r="B1332" s="33"/>
    </row>
    <row r="1333" spans="1:2">
      <c r="A1333" s="33"/>
      <c r="B1333" s="33"/>
    </row>
    <row r="1334" spans="1:2">
      <c r="A1334" s="33"/>
      <c r="B1334" s="33"/>
    </row>
    <row r="1335" spans="1:2">
      <c r="A1335" s="33"/>
      <c r="B1335" s="33"/>
    </row>
    <row r="1336" spans="1:2">
      <c r="A1336" s="33"/>
      <c r="B1336" s="33"/>
    </row>
    <row r="1337" spans="1:2">
      <c r="A1337" s="33"/>
      <c r="B1337" s="33"/>
    </row>
    <row r="1338" spans="1:2">
      <c r="A1338" s="33"/>
      <c r="B1338" s="33"/>
    </row>
    <row r="1339" spans="1:2">
      <c r="A1339" s="33"/>
      <c r="B1339" s="33"/>
    </row>
    <row r="1340" spans="1:2">
      <c r="A1340" s="33"/>
      <c r="B1340" s="33"/>
    </row>
    <row r="1341" spans="1:2">
      <c r="A1341" s="33"/>
      <c r="B1341" s="33"/>
    </row>
    <row r="1342" spans="1:2">
      <c r="A1342" s="33"/>
      <c r="B1342" s="33"/>
    </row>
    <row r="1343" spans="1:2">
      <c r="A1343" s="33"/>
      <c r="B1343" s="33"/>
    </row>
    <row r="1344" spans="1:2">
      <c r="A1344" s="33"/>
      <c r="B1344" s="33"/>
    </row>
    <row r="1345" spans="1:2">
      <c r="A1345" s="33"/>
      <c r="B1345" s="33"/>
    </row>
    <row r="1346" spans="1:2">
      <c r="A1346" s="33"/>
      <c r="B1346" s="33"/>
    </row>
    <row r="1347" spans="1:2">
      <c r="A1347" s="33"/>
      <c r="B1347" s="33"/>
    </row>
    <row r="1348" spans="1:2">
      <c r="A1348" s="33"/>
      <c r="B1348" s="33"/>
    </row>
    <row r="1349" spans="1:2">
      <c r="A1349" s="33"/>
      <c r="B1349" s="33"/>
    </row>
    <row r="1350" spans="1:2">
      <c r="A1350" s="33"/>
      <c r="B1350" s="33"/>
    </row>
    <row r="1351" spans="1:2">
      <c r="A1351" s="33"/>
      <c r="B1351" s="33"/>
    </row>
    <row r="1352" spans="1:2">
      <c r="A1352" s="33"/>
      <c r="B1352" s="33"/>
    </row>
    <row r="1353" spans="1:2">
      <c r="A1353" s="33"/>
      <c r="B1353" s="33"/>
    </row>
    <row r="1354" spans="1:2">
      <c r="A1354" s="33"/>
      <c r="B1354" s="33"/>
    </row>
    <row r="1355" spans="1:2">
      <c r="A1355" s="33"/>
      <c r="B1355" s="33"/>
    </row>
    <row r="1356" spans="1:2">
      <c r="A1356" s="33"/>
      <c r="B1356" s="33"/>
    </row>
    <row r="1357" spans="1:2">
      <c r="A1357" s="33"/>
      <c r="B1357" s="33"/>
    </row>
    <row r="1358" spans="1:2">
      <c r="A1358" s="33"/>
      <c r="B1358" s="33"/>
    </row>
    <row r="1359" spans="1:2">
      <c r="A1359" s="33"/>
      <c r="B1359" s="33"/>
    </row>
    <row r="1360" spans="1:2">
      <c r="A1360" s="33"/>
      <c r="B1360" s="33"/>
    </row>
    <row r="1361" spans="1:2">
      <c r="A1361" s="33"/>
      <c r="B1361" s="33"/>
    </row>
    <row r="1362" spans="1:2">
      <c r="A1362" s="33"/>
      <c r="B1362" s="33"/>
    </row>
    <row r="1363" spans="1:2">
      <c r="A1363" s="33"/>
      <c r="B1363" s="33"/>
    </row>
    <row r="1364" spans="1:2">
      <c r="A1364" s="33"/>
      <c r="B1364" s="33"/>
    </row>
    <row r="1365" spans="1:2">
      <c r="A1365" s="33"/>
      <c r="B1365" s="33"/>
    </row>
    <row r="1366" spans="1:2">
      <c r="A1366" s="33"/>
      <c r="B1366" s="33"/>
    </row>
    <row r="1367" spans="1:2">
      <c r="A1367" s="33"/>
      <c r="B1367" s="33"/>
    </row>
    <row r="1368" spans="1:2">
      <c r="A1368" s="33"/>
      <c r="B1368" s="33"/>
    </row>
    <row r="1369" spans="1:2">
      <c r="A1369" s="33"/>
      <c r="B1369" s="33"/>
    </row>
    <row r="1370" spans="1:2">
      <c r="A1370" s="33"/>
      <c r="B1370" s="33"/>
    </row>
    <row r="1371" spans="1:2">
      <c r="A1371" s="33"/>
      <c r="B1371" s="33"/>
    </row>
    <row r="1372" spans="1:2">
      <c r="A1372" s="33"/>
      <c r="B1372" s="33"/>
    </row>
    <row r="1373" spans="1:2">
      <c r="A1373" s="33"/>
      <c r="B1373" s="33"/>
    </row>
    <row r="1374" spans="1:2">
      <c r="A1374" s="33"/>
      <c r="B1374" s="33"/>
    </row>
    <row r="1375" spans="1:2">
      <c r="A1375" s="33"/>
      <c r="B1375" s="33"/>
    </row>
    <row r="1376" spans="1:2">
      <c r="A1376" s="33"/>
      <c r="B1376" s="33"/>
    </row>
    <row r="1377" spans="1:2">
      <c r="A1377" s="33"/>
      <c r="B1377" s="33"/>
    </row>
    <row r="1378" spans="1:2">
      <c r="A1378" s="33"/>
      <c r="B1378" s="33"/>
    </row>
    <row r="1379" spans="1:2">
      <c r="A1379" s="33"/>
      <c r="B1379" s="33"/>
    </row>
    <row r="1380" spans="1:2">
      <c r="A1380" s="33"/>
      <c r="B1380" s="33"/>
    </row>
    <row r="1381" spans="1:2">
      <c r="A1381" s="33"/>
      <c r="B1381" s="33"/>
    </row>
    <row r="1382" spans="1:2">
      <c r="A1382" s="33"/>
      <c r="B1382" s="33"/>
    </row>
    <row r="1383" spans="1:2">
      <c r="A1383" s="33"/>
      <c r="B1383" s="33"/>
    </row>
    <row r="1384" spans="1:2">
      <c r="A1384" s="33"/>
      <c r="B1384" s="33"/>
    </row>
    <row r="1385" spans="1:2">
      <c r="A1385" s="33"/>
      <c r="B1385" s="33"/>
    </row>
    <row r="1386" spans="1:2">
      <c r="A1386" s="33"/>
      <c r="B1386" s="33"/>
    </row>
    <row r="1387" spans="1:2">
      <c r="A1387" s="33"/>
      <c r="B1387" s="33"/>
    </row>
    <row r="1388" spans="1:2">
      <c r="A1388" s="33"/>
      <c r="B1388" s="33"/>
    </row>
    <row r="1389" spans="1:2">
      <c r="A1389" s="33"/>
      <c r="B1389" s="33"/>
    </row>
    <row r="1390" spans="1:2">
      <c r="A1390" s="33"/>
      <c r="B1390" s="33"/>
    </row>
    <row r="1391" spans="1:2">
      <c r="A1391" s="33"/>
      <c r="B1391" s="33"/>
    </row>
    <row r="1392" spans="1:2">
      <c r="A1392" s="33"/>
      <c r="B1392" s="33"/>
    </row>
    <row r="1393" spans="1:2">
      <c r="A1393" s="33"/>
      <c r="B1393" s="33"/>
    </row>
    <row r="1394" spans="1:2">
      <c r="A1394" s="33"/>
      <c r="B1394" s="33"/>
    </row>
    <row r="1395" spans="1:2">
      <c r="A1395" s="33"/>
      <c r="B1395" s="33"/>
    </row>
    <row r="1396" spans="1:2">
      <c r="A1396" s="33"/>
      <c r="B1396" s="33"/>
    </row>
    <row r="1397" spans="1:2">
      <c r="A1397" s="33"/>
      <c r="B1397" s="33"/>
    </row>
    <row r="1398" spans="1:2">
      <c r="A1398" s="33"/>
      <c r="B1398" s="33"/>
    </row>
    <row r="1399" spans="1:2">
      <c r="A1399" s="33"/>
      <c r="B1399" s="33"/>
    </row>
    <row r="1400" spans="1:2">
      <c r="A1400" s="33"/>
      <c r="B1400" s="33"/>
    </row>
    <row r="1401" spans="1:2">
      <c r="A1401" s="33"/>
      <c r="B1401" s="33"/>
    </row>
    <row r="1402" spans="1:2">
      <c r="A1402" s="33"/>
      <c r="B1402" s="33"/>
    </row>
    <row r="1403" spans="1:2">
      <c r="A1403" s="33"/>
      <c r="B1403" s="33"/>
    </row>
    <row r="1404" spans="1:2">
      <c r="A1404" s="33"/>
      <c r="B1404" s="33"/>
    </row>
    <row r="1405" spans="1:2">
      <c r="A1405" s="33"/>
      <c r="B1405" s="33"/>
    </row>
    <row r="1406" spans="1:2">
      <c r="A1406" s="33"/>
      <c r="B1406" s="33"/>
    </row>
    <row r="1407" spans="1:2">
      <c r="A1407" s="33"/>
      <c r="B1407" s="33"/>
    </row>
    <row r="1408" spans="1:2">
      <c r="A1408" s="33"/>
      <c r="B1408" s="33"/>
    </row>
    <row r="1409" spans="1:2">
      <c r="A1409" s="33"/>
      <c r="B1409" s="33"/>
    </row>
    <row r="1410" spans="1:2">
      <c r="A1410" s="33"/>
      <c r="B1410" s="33"/>
    </row>
    <row r="1411" spans="1:2">
      <c r="A1411" s="33"/>
      <c r="B1411" s="33"/>
    </row>
    <row r="1412" spans="1:2">
      <c r="A1412" s="33"/>
      <c r="B1412" s="33"/>
    </row>
    <row r="1413" spans="1:2">
      <c r="A1413" s="33"/>
      <c r="B1413" s="33"/>
    </row>
    <row r="1414" spans="1:2">
      <c r="A1414" s="33"/>
      <c r="B1414" s="33"/>
    </row>
    <row r="1415" spans="1:2">
      <c r="A1415" s="33"/>
      <c r="B1415" s="33"/>
    </row>
    <row r="1416" spans="1:2">
      <c r="A1416" s="33"/>
      <c r="B1416" s="33"/>
    </row>
    <row r="1417" spans="1:2">
      <c r="A1417" s="33"/>
      <c r="B1417" s="33"/>
    </row>
    <row r="1418" spans="1:2">
      <c r="A1418" s="33"/>
      <c r="B1418" s="33"/>
    </row>
    <row r="1419" spans="1:2">
      <c r="A1419" s="33"/>
      <c r="B1419" s="33"/>
    </row>
    <row r="1420" spans="1:2">
      <c r="A1420" s="33"/>
      <c r="B1420" s="33"/>
    </row>
    <row r="1421" spans="1:2">
      <c r="A1421" s="33"/>
      <c r="B1421" s="33"/>
    </row>
    <row r="1422" spans="1:2">
      <c r="A1422" s="33"/>
      <c r="B1422" s="33"/>
    </row>
    <row r="1423" spans="1:2">
      <c r="A1423" s="33"/>
      <c r="B1423" s="33"/>
    </row>
    <row r="1424" spans="1:2">
      <c r="A1424" s="33"/>
      <c r="B1424" s="33"/>
    </row>
    <row r="1425" spans="1:2">
      <c r="A1425" s="33"/>
      <c r="B1425" s="33"/>
    </row>
    <row r="1426" spans="1:2">
      <c r="A1426" s="33"/>
      <c r="B1426" s="33"/>
    </row>
    <row r="1427" spans="1:2">
      <c r="A1427" s="33"/>
      <c r="B1427" s="33"/>
    </row>
    <row r="1428" spans="1:2">
      <c r="A1428" s="33"/>
      <c r="B1428" s="33"/>
    </row>
    <row r="1429" spans="1:2">
      <c r="A1429" s="33"/>
      <c r="B1429" s="33"/>
    </row>
    <row r="1430" spans="1:2">
      <c r="A1430" s="33"/>
      <c r="B1430" s="33"/>
    </row>
    <row r="1431" spans="1:2">
      <c r="A1431" s="33"/>
      <c r="B1431" s="33"/>
    </row>
    <row r="1432" spans="1:2">
      <c r="A1432" s="33"/>
      <c r="B1432" s="33"/>
    </row>
    <row r="1433" spans="1:2">
      <c r="A1433" s="33"/>
      <c r="B1433" s="33"/>
    </row>
    <row r="1434" spans="1:2">
      <c r="A1434" s="33"/>
      <c r="B1434" s="33"/>
    </row>
    <row r="1435" spans="1:2">
      <c r="A1435" s="33"/>
      <c r="B1435" s="33"/>
    </row>
    <row r="1436" spans="1:2">
      <c r="A1436" s="33"/>
      <c r="B1436" s="33"/>
    </row>
    <row r="1437" spans="1:2">
      <c r="A1437" s="33"/>
      <c r="B1437" s="33"/>
    </row>
    <row r="1438" spans="1:2">
      <c r="A1438" s="33"/>
      <c r="B1438" s="33"/>
    </row>
    <row r="1439" spans="1:2">
      <c r="A1439" s="33"/>
      <c r="B1439" s="33"/>
    </row>
    <row r="1440" spans="1:2">
      <c r="A1440" s="33"/>
      <c r="B1440" s="33"/>
    </row>
    <row r="1441" spans="1:2">
      <c r="A1441" s="33"/>
      <c r="B1441" s="33"/>
    </row>
    <row r="1442" spans="1:2">
      <c r="A1442" s="33"/>
      <c r="B1442" s="33"/>
    </row>
    <row r="1443" spans="1:2">
      <c r="A1443" s="33"/>
      <c r="B1443" s="33"/>
    </row>
    <row r="1444" spans="1:2">
      <c r="A1444" s="33"/>
      <c r="B1444" s="33"/>
    </row>
    <row r="1445" spans="1:2">
      <c r="A1445" s="33"/>
      <c r="B1445" s="33"/>
    </row>
    <row r="1446" spans="1:2">
      <c r="A1446" s="33"/>
      <c r="B1446" s="33"/>
    </row>
    <row r="1447" spans="1:2">
      <c r="A1447" s="33"/>
      <c r="B1447" s="33"/>
    </row>
    <row r="1448" spans="1:2">
      <c r="A1448" s="33"/>
      <c r="B1448" s="33"/>
    </row>
    <row r="1449" spans="1:2">
      <c r="A1449" s="33"/>
      <c r="B1449" s="33"/>
    </row>
    <row r="1450" spans="1:2">
      <c r="A1450" s="33"/>
      <c r="B1450" s="33"/>
    </row>
    <row r="1451" spans="1:2">
      <c r="A1451" s="33"/>
      <c r="B1451" s="33"/>
    </row>
    <row r="1452" spans="1:2">
      <c r="A1452" s="33"/>
      <c r="B1452" s="33"/>
    </row>
    <row r="1453" spans="1:2">
      <c r="A1453" s="33"/>
      <c r="B1453" s="33"/>
    </row>
    <row r="1454" spans="1:2">
      <c r="A1454" s="33"/>
      <c r="B1454" s="33"/>
    </row>
    <row r="1455" spans="1:2">
      <c r="A1455" s="33"/>
      <c r="B1455" s="33"/>
    </row>
    <row r="1456" spans="1:2">
      <c r="A1456" s="33"/>
      <c r="B1456" s="33"/>
    </row>
    <row r="1457" spans="1:2">
      <c r="A1457" s="33"/>
      <c r="B1457" s="33"/>
    </row>
    <row r="1458" spans="1:2">
      <c r="A1458" s="33"/>
      <c r="B1458" s="33"/>
    </row>
    <row r="1459" spans="1:2">
      <c r="A1459" s="33"/>
      <c r="B1459" s="33"/>
    </row>
    <row r="1460" spans="1:2">
      <c r="A1460" s="33"/>
      <c r="B1460" s="33"/>
    </row>
    <row r="1461" spans="1:2">
      <c r="A1461" s="33"/>
      <c r="B1461" s="33"/>
    </row>
    <row r="1462" spans="1:2">
      <c r="A1462" s="33"/>
      <c r="B1462" s="33"/>
    </row>
    <row r="1463" spans="1:2">
      <c r="A1463" s="33"/>
      <c r="B1463" s="33"/>
    </row>
    <row r="1464" spans="1:2">
      <c r="A1464" s="33"/>
      <c r="B1464" s="33"/>
    </row>
    <row r="1465" spans="1:2">
      <c r="A1465" s="33"/>
      <c r="B1465" s="33"/>
    </row>
    <row r="1466" spans="1:2">
      <c r="A1466" s="33"/>
      <c r="B1466" s="33"/>
    </row>
    <row r="1467" spans="1:2">
      <c r="A1467" s="33"/>
      <c r="B1467" s="33"/>
    </row>
    <row r="1468" spans="1:2">
      <c r="A1468" s="33"/>
      <c r="B1468" s="33"/>
    </row>
    <row r="1469" spans="1:2">
      <c r="A1469" s="33"/>
      <c r="B1469" s="33"/>
    </row>
    <row r="1470" spans="1:2">
      <c r="A1470" s="33"/>
      <c r="B1470" s="33"/>
    </row>
    <row r="1471" spans="1:2">
      <c r="A1471" s="33"/>
      <c r="B1471" s="33"/>
    </row>
    <row r="1472" spans="1:2">
      <c r="A1472" s="33"/>
      <c r="B1472" s="33"/>
    </row>
    <row r="1473" spans="1:2">
      <c r="A1473" s="33"/>
      <c r="B1473" s="33"/>
    </row>
    <row r="1474" spans="1:2">
      <c r="A1474" s="33"/>
      <c r="B1474" s="33"/>
    </row>
    <row r="1475" spans="1:2">
      <c r="A1475" s="33"/>
      <c r="B1475" s="33"/>
    </row>
    <row r="1476" spans="1:2">
      <c r="A1476" s="33"/>
      <c r="B1476" s="33"/>
    </row>
    <row r="1477" spans="1:2">
      <c r="A1477" s="33"/>
      <c r="B1477" s="33"/>
    </row>
    <row r="1478" spans="1:2">
      <c r="A1478" s="33"/>
      <c r="B1478" s="33"/>
    </row>
    <row r="1479" spans="1:2">
      <c r="A1479" s="33"/>
      <c r="B1479" s="33"/>
    </row>
    <row r="1480" spans="1:2">
      <c r="A1480" s="33"/>
      <c r="B1480" s="33"/>
    </row>
    <row r="1481" spans="1:2">
      <c r="A1481" s="33"/>
      <c r="B1481" s="33"/>
    </row>
    <row r="1482" spans="1:2">
      <c r="A1482" s="33"/>
      <c r="B1482" s="33"/>
    </row>
    <row r="1483" spans="1:2">
      <c r="A1483" s="33"/>
      <c r="B1483" s="33"/>
    </row>
    <row r="1484" spans="1:2">
      <c r="A1484" s="33"/>
      <c r="B1484" s="33"/>
    </row>
    <row r="1485" spans="1:2">
      <c r="A1485" s="33"/>
      <c r="B1485" s="33"/>
    </row>
    <row r="1486" spans="1:2">
      <c r="A1486" s="33"/>
      <c r="B1486" s="33"/>
    </row>
    <row r="1487" spans="1:2">
      <c r="A1487" s="33"/>
      <c r="B1487" s="33"/>
    </row>
    <row r="1488" spans="1:2">
      <c r="A1488" s="33"/>
      <c r="B1488" s="33"/>
    </row>
    <row r="1489" spans="1:2">
      <c r="A1489" s="33"/>
      <c r="B1489" s="33"/>
    </row>
    <row r="1490" spans="1:2">
      <c r="A1490" s="33"/>
      <c r="B1490" s="33"/>
    </row>
    <row r="1491" spans="1:2">
      <c r="A1491" s="33"/>
      <c r="B1491" s="33"/>
    </row>
    <row r="1492" spans="1:2">
      <c r="A1492" s="33"/>
      <c r="B1492" s="33"/>
    </row>
    <row r="1493" spans="1:2">
      <c r="A1493" s="33"/>
      <c r="B1493" s="33"/>
    </row>
    <row r="1494" spans="1:2">
      <c r="A1494" s="33"/>
      <c r="B1494" s="33"/>
    </row>
    <row r="1495" spans="1:2">
      <c r="A1495" s="33"/>
      <c r="B1495" s="33"/>
    </row>
    <row r="1496" spans="1:2">
      <c r="A1496" s="33"/>
      <c r="B1496" s="33"/>
    </row>
    <row r="1497" spans="1:2">
      <c r="A1497" s="33"/>
      <c r="B1497" s="33"/>
    </row>
    <row r="1498" spans="1:2">
      <c r="A1498" s="33"/>
      <c r="B1498" s="33"/>
    </row>
    <row r="1499" spans="1:2">
      <c r="A1499" s="33"/>
      <c r="B1499" s="33"/>
    </row>
    <row r="1500" spans="1:2">
      <c r="A1500" s="33"/>
      <c r="B1500" s="33"/>
    </row>
    <row r="1501" spans="1:2">
      <c r="A1501" s="33"/>
      <c r="B1501" s="33"/>
    </row>
    <row r="1502" spans="1:2">
      <c r="A1502" s="33"/>
      <c r="B1502" s="33"/>
    </row>
    <row r="1503" spans="1:2">
      <c r="A1503" s="33"/>
      <c r="B1503" s="33"/>
    </row>
    <row r="1504" spans="1:2">
      <c r="A1504" s="33"/>
      <c r="B1504" s="33"/>
    </row>
    <row r="1505" spans="1:2">
      <c r="A1505" s="33"/>
      <c r="B1505" s="33"/>
    </row>
    <row r="1506" spans="1:2">
      <c r="A1506" s="33"/>
      <c r="B1506" s="33"/>
    </row>
    <row r="1507" spans="1:2">
      <c r="A1507" s="33"/>
      <c r="B1507" s="33"/>
    </row>
    <row r="1508" spans="1:2">
      <c r="A1508" s="33"/>
      <c r="B1508" s="33"/>
    </row>
    <row r="1509" spans="1:2">
      <c r="A1509" s="33"/>
      <c r="B1509" s="33"/>
    </row>
    <row r="1510" spans="1:2">
      <c r="A1510" s="33"/>
      <c r="B1510" s="33"/>
    </row>
    <row r="1511" spans="1:2">
      <c r="A1511" s="33"/>
      <c r="B1511" s="33"/>
    </row>
    <row r="1512" spans="1:2">
      <c r="A1512" s="33"/>
      <c r="B1512" s="33"/>
    </row>
    <row r="1513" spans="1:2">
      <c r="A1513" s="33"/>
      <c r="B1513" s="33"/>
    </row>
    <row r="1514" spans="1:2">
      <c r="A1514" s="33"/>
      <c r="B1514" s="33"/>
    </row>
    <row r="1515" spans="1:2">
      <c r="A1515" s="33"/>
      <c r="B1515" s="33"/>
    </row>
    <row r="1516" spans="1:2">
      <c r="A1516" s="33"/>
      <c r="B1516" s="33"/>
    </row>
    <row r="1517" spans="1:2">
      <c r="A1517" s="33"/>
      <c r="B1517" s="33"/>
    </row>
    <row r="1518" spans="1:2">
      <c r="A1518" s="33"/>
      <c r="B1518" s="33"/>
    </row>
    <row r="1519" spans="1:2">
      <c r="A1519" s="33"/>
      <c r="B1519" s="33"/>
    </row>
    <row r="1520" spans="1:2">
      <c r="A1520" s="33"/>
      <c r="B1520" s="33"/>
    </row>
    <row r="1521" spans="1:2">
      <c r="A1521" s="33"/>
      <c r="B1521" s="33"/>
    </row>
    <row r="1522" spans="1:2">
      <c r="A1522" s="33"/>
      <c r="B1522" s="33"/>
    </row>
    <row r="1523" spans="1:2">
      <c r="A1523" s="33"/>
      <c r="B1523" s="33"/>
    </row>
    <row r="1524" spans="1:2">
      <c r="A1524" s="33"/>
      <c r="B1524" s="33"/>
    </row>
    <row r="1525" spans="1:2">
      <c r="A1525" s="33"/>
      <c r="B1525" s="33"/>
    </row>
    <row r="1526" spans="1:2">
      <c r="A1526" s="33"/>
      <c r="B1526" s="33"/>
    </row>
    <row r="1527" spans="1:2">
      <c r="A1527" s="33"/>
      <c r="B1527" s="33"/>
    </row>
    <row r="1528" spans="1:2">
      <c r="A1528" s="33"/>
      <c r="B1528" s="33"/>
    </row>
    <row r="1529" spans="1:2">
      <c r="A1529" s="33"/>
      <c r="B1529" s="33"/>
    </row>
    <row r="1530" spans="1:2">
      <c r="A1530" s="33"/>
      <c r="B1530" s="33"/>
    </row>
    <row r="1531" spans="1:2">
      <c r="A1531" s="33"/>
      <c r="B1531" s="33"/>
    </row>
    <row r="1532" spans="1:2">
      <c r="A1532" s="33"/>
      <c r="B1532" s="33"/>
    </row>
    <row r="1533" spans="1:2">
      <c r="A1533" s="33"/>
      <c r="B1533" s="33"/>
    </row>
    <row r="1534" spans="1:2">
      <c r="A1534" s="33"/>
      <c r="B1534" s="33"/>
    </row>
    <row r="1535" spans="1:2">
      <c r="A1535" s="33"/>
      <c r="B1535" s="33"/>
    </row>
    <row r="1536" spans="1:2">
      <c r="A1536" s="33"/>
      <c r="B1536" s="33"/>
    </row>
    <row r="1537" spans="1:2">
      <c r="A1537" s="33"/>
      <c r="B1537" s="33"/>
    </row>
    <row r="1538" spans="1:2">
      <c r="A1538" s="33"/>
      <c r="B1538" s="33"/>
    </row>
    <row r="1539" spans="1:2">
      <c r="A1539" s="33"/>
      <c r="B1539" s="33"/>
    </row>
    <row r="1540" spans="1:2">
      <c r="A1540" s="33"/>
      <c r="B1540" s="33"/>
    </row>
    <row r="1541" spans="1:2">
      <c r="A1541" s="33"/>
      <c r="B1541" s="33"/>
    </row>
    <row r="1542" spans="1:2">
      <c r="A1542" s="33"/>
      <c r="B1542" s="33"/>
    </row>
    <row r="1543" spans="1:2">
      <c r="A1543" s="33"/>
      <c r="B1543" s="33"/>
    </row>
    <row r="1544" spans="1:2">
      <c r="A1544" s="33"/>
      <c r="B1544" s="33"/>
    </row>
    <row r="1545" spans="1:2">
      <c r="A1545" s="33"/>
      <c r="B1545" s="33"/>
    </row>
    <row r="1546" spans="1:2">
      <c r="A1546" s="33"/>
      <c r="B1546" s="33"/>
    </row>
    <row r="1547" spans="1:2">
      <c r="A1547" s="33"/>
      <c r="B1547" s="33"/>
    </row>
    <row r="1548" spans="1:2">
      <c r="A1548" s="33"/>
      <c r="B1548" s="33"/>
    </row>
    <row r="1549" spans="1:2">
      <c r="A1549" s="33"/>
      <c r="B1549" s="33"/>
    </row>
    <row r="1550" spans="1:2">
      <c r="A1550" s="33"/>
      <c r="B1550" s="33"/>
    </row>
    <row r="1551" spans="1:2">
      <c r="A1551" s="33"/>
      <c r="B1551" s="33"/>
    </row>
    <row r="1552" spans="1:2">
      <c r="A1552" s="33"/>
      <c r="B1552" s="33"/>
    </row>
    <row r="1553" spans="1:2">
      <c r="A1553" s="33"/>
      <c r="B1553" s="33"/>
    </row>
    <row r="1554" spans="1:2">
      <c r="A1554" s="33"/>
      <c r="B1554" s="33"/>
    </row>
    <row r="1555" spans="1:2">
      <c r="A1555" s="33"/>
      <c r="B1555" s="33"/>
    </row>
    <row r="1556" spans="1:2">
      <c r="A1556" s="33"/>
      <c r="B1556" s="33"/>
    </row>
    <row r="1557" spans="1:2">
      <c r="A1557" s="33"/>
      <c r="B1557" s="33"/>
    </row>
    <row r="1558" spans="1:2">
      <c r="A1558" s="33"/>
      <c r="B1558" s="33"/>
    </row>
    <row r="1559" spans="1:2">
      <c r="A1559" s="33"/>
      <c r="B1559" s="33"/>
    </row>
    <row r="1560" spans="1:2">
      <c r="A1560" s="33"/>
      <c r="B1560" s="33"/>
    </row>
    <row r="1561" spans="1:2">
      <c r="A1561" s="33"/>
      <c r="B1561" s="33"/>
    </row>
    <row r="1562" spans="1:2">
      <c r="A1562" s="33"/>
      <c r="B1562" s="33"/>
    </row>
    <row r="1563" spans="1:2">
      <c r="A1563" s="33"/>
      <c r="B1563" s="33"/>
    </row>
    <row r="1564" spans="1:2">
      <c r="A1564" s="33"/>
      <c r="B1564" s="33"/>
    </row>
    <row r="1565" spans="1:2">
      <c r="A1565" s="33"/>
      <c r="B1565" s="33"/>
    </row>
    <row r="1566" spans="1:2">
      <c r="A1566" s="33"/>
      <c r="B1566" s="33"/>
    </row>
    <row r="1567" spans="1:2">
      <c r="A1567" s="33"/>
      <c r="B1567" s="33"/>
    </row>
    <row r="1568" spans="1:2">
      <c r="A1568" s="33"/>
      <c r="B1568" s="33"/>
    </row>
    <row r="1569" spans="1:2">
      <c r="A1569" s="33"/>
      <c r="B1569" s="33"/>
    </row>
    <row r="1570" spans="1:2">
      <c r="A1570" s="33"/>
      <c r="B1570" s="33"/>
    </row>
    <row r="1571" spans="1:2">
      <c r="A1571" s="33"/>
      <c r="B1571" s="33"/>
    </row>
    <row r="1572" spans="1:2">
      <c r="A1572" s="33"/>
      <c r="B1572" s="33"/>
    </row>
    <row r="1573" spans="1:2">
      <c r="A1573" s="33"/>
      <c r="B1573" s="33"/>
    </row>
    <row r="1574" spans="1:2">
      <c r="A1574" s="33"/>
      <c r="B1574" s="33"/>
    </row>
    <row r="1575" spans="1:2">
      <c r="A1575" s="33"/>
      <c r="B1575" s="33"/>
    </row>
    <row r="1576" spans="1:2">
      <c r="A1576" s="33"/>
      <c r="B1576" s="33"/>
    </row>
    <row r="1577" spans="1:2">
      <c r="A1577" s="33"/>
      <c r="B1577" s="33"/>
    </row>
    <row r="1578" spans="1:2">
      <c r="A1578" s="33"/>
      <c r="B1578" s="33"/>
    </row>
    <row r="1579" spans="1:2">
      <c r="A1579" s="33"/>
      <c r="B1579" s="33"/>
    </row>
    <row r="1580" spans="1:2">
      <c r="A1580" s="33"/>
      <c r="B1580" s="33"/>
    </row>
    <row r="1581" spans="1:2">
      <c r="A1581" s="33"/>
      <c r="B1581" s="33"/>
    </row>
    <row r="1582" spans="1:2">
      <c r="A1582" s="33"/>
      <c r="B1582" s="33"/>
    </row>
    <row r="1583" spans="1:2">
      <c r="A1583" s="33"/>
      <c r="B1583" s="33"/>
    </row>
    <row r="1584" spans="1:2">
      <c r="A1584" s="33"/>
      <c r="B1584" s="33"/>
    </row>
    <row r="1585" spans="1:2">
      <c r="A1585" s="33"/>
      <c r="B1585" s="33"/>
    </row>
    <row r="1586" spans="1:2">
      <c r="A1586" s="33"/>
      <c r="B1586" s="33"/>
    </row>
    <row r="1587" spans="1:2">
      <c r="A1587" s="33"/>
      <c r="B1587" s="33"/>
    </row>
    <row r="1588" spans="1:2">
      <c r="A1588" s="33"/>
      <c r="B1588" s="33"/>
    </row>
    <row r="1589" spans="1:2">
      <c r="A1589" s="33"/>
      <c r="B1589" s="33"/>
    </row>
    <row r="1590" spans="1:2">
      <c r="A1590" s="33"/>
      <c r="B1590" s="33"/>
    </row>
    <row r="1591" spans="1:2">
      <c r="A1591" s="33"/>
      <c r="B1591" s="33"/>
    </row>
    <row r="1592" spans="1:2">
      <c r="A1592" s="33"/>
      <c r="B1592" s="33"/>
    </row>
    <row r="1593" spans="1:2">
      <c r="A1593" s="33"/>
      <c r="B1593" s="33"/>
    </row>
    <row r="1594" spans="1:2">
      <c r="A1594" s="33"/>
      <c r="B1594" s="33"/>
    </row>
    <row r="1595" spans="1:2">
      <c r="A1595" s="33"/>
      <c r="B1595" s="33"/>
    </row>
    <row r="1596" spans="1:2">
      <c r="A1596" s="33"/>
      <c r="B1596" s="33"/>
    </row>
    <row r="1597" spans="1:2">
      <c r="A1597" s="33"/>
      <c r="B1597" s="33"/>
    </row>
    <row r="1598" spans="1:2">
      <c r="A1598" s="33"/>
      <c r="B1598" s="33"/>
    </row>
    <row r="1599" spans="1:2">
      <c r="A1599" s="33"/>
      <c r="B1599" s="33"/>
    </row>
    <row r="1600" spans="1:2">
      <c r="A1600" s="33"/>
      <c r="B1600" s="33"/>
    </row>
    <row r="1601" spans="1:2">
      <c r="A1601" s="33"/>
      <c r="B1601" s="33"/>
    </row>
    <row r="1602" spans="1:2">
      <c r="A1602" s="33"/>
      <c r="B1602" s="33"/>
    </row>
    <row r="1603" spans="1:2">
      <c r="A1603" s="33"/>
      <c r="B1603" s="33"/>
    </row>
    <row r="1604" spans="1:2">
      <c r="A1604" s="33"/>
      <c r="B1604" s="33"/>
    </row>
    <row r="1605" spans="1:2">
      <c r="A1605" s="33"/>
      <c r="B1605" s="33"/>
    </row>
    <row r="1606" spans="1:2">
      <c r="A1606" s="33"/>
      <c r="B1606" s="33"/>
    </row>
    <row r="1607" spans="1:2">
      <c r="A1607" s="33"/>
      <c r="B1607" s="33"/>
    </row>
    <row r="1608" spans="1:2">
      <c r="A1608" s="33"/>
      <c r="B1608" s="33"/>
    </row>
    <row r="1609" spans="1:2">
      <c r="A1609" s="33"/>
      <c r="B1609" s="33"/>
    </row>
    <row r="1610" spans="1:2">
      <c r="A1610" s="33"/>
      <c r="B1610" s="33"/>
    </row>
    <row r="1611" spans="1:2">
      <c r="A1611" s="33"/>
      <c r="B1611" s="33"/>
    </row>
    <row r="1612" spans="1:2">
      <c r="A1612" s="33"/>
      <c r="B1612" s="33"/>
    </row>
    <row r="1613" spans="1:2">
      <c r="A1613" s="33"/>
      <c r="B1613" s="33"/>
    </row>
    <row r="1614" spans="1:2">
      <c r="A1614" s="33"/>
      <c r="B1614" s="33"/>
    </row>
    <row r="1615" spans="1:2">
      <c r="A1615" s="33"/>
      <c r="B1615" s="33"/>
    </row>
    <row r="1616" spans="1:2">
      <c r="A1616" s="33"/>
      <c r="B1616" s="33"/>
    </row>
    <row r="1617" spans="1:2">
      <c r="A1617" s="33"/>
      <c r="B1617" s="33"/>
    </row>
    <row r="1618" spans="1:2">
      <c r="A1618" s="33"/>
      <c r="B1618" s="33"/>
    </row>
    <row r="1619" spans="1:2">
      <c r="A1619" s="33"/>
      <c r="B1619" s="33"/>
    </row>
    <row r="1620" spans="1:2">
      <c r="A1620" s="33"/>
      <c r="B1620" s="33"/>
    </row>
    <row r="1621" spans="1:2">
      <c r="A1621" s="33"/>
      <c r="B1621" s="33"/>
    </row>
    <row r="1622" spans="1:2">
      <c r="A1622" s="33"/>
      <c r="B1622" s="33"/>
    </row>
    <row r="1623" spans="1:2">
      <c r="A1623" s="33"/>
      <c r="B1623" s="33"/>
    </row>
    <row r="1624" spans="1:2">
      <c r="A1624" s="33"/>
      <c r="B1624" s="33"/>
    </row>
    <row r="1625" spans="1:2">
      <c r="A1625" s="33"/>
      <c r="B1625" s="33"/>
    </row>
    <row r="1626" spans="1:2">
      <c r="A1626" s="33"/>
      <c r="B1626" s="33"/>
    </row>
    <row r="1627" spans="1:2">
      <c r="A1627" s="33"/>
      <c r="B1627" s="33"/>
    </row>
    <row r="1628" spans="1:2">
      <c r="A1628" s="33"/>
      <c r="B1628" s="33"/>
    </row>
    <row r="1629" spans="1:2">
      <c r="A1629" s="33"/>
      <c r="B1629" s="33"/>
    </row>
    <row r="1630" spans="1:2">
      <c r="A1630" s="33"/>
      <c r="B1630" s="33"/>
    </row>
    <row r="1631" spans="1:2">
      <c r="A1631" s="33"/>
      <c r="B1631" s="33"/>
    </row>
    <row r="1632" spans="1:2">
      <c r="A1632" s="33"/>
      <c r="B1632" s="33"/>
    </row>
    <row r="1633" spans="1:2">
      <c r="A1633" s="33"/>
      <c r="B1633" s="33"/>
    </row>
    <row r="1634" spans="1:2">
      <c r="A1634" s="33"/>
      <c r="B1634" s="33"/>
    </row>
    <row r="1635" spans="1:2">
      <c r="A1635" s="33"/>
      <c r="B1635" s="33"/>
    </row>
    <row r="1636" spans="1:2">
      <c r="A1636" s="33"/>
      <c r="B1636" s="33"/>
    </row>
    <row r="1637" spans="1:2">
      <c r="A1637" s="33"/>
      <c r="B1637" s="33"/>
    </row>
    <row r="1638" spans="1:2">
      <c r="A1638" s="33"/>
      <c r="B1638" s="33"/>
    </row>
    <row r="1639" spans="1:2">
      <c r="A1639" s="33"/>
      <c r="B1639" s="33"/>
    </row>
    <row r="1640" spans="1:2">
      <c r="A1640" s="33"/>
      <c r="B1640" s="33"/>
    </row>
    <row r="1641" spans="1:2">
      <c r="A1641" s="33"/>
      <c r="B1641" s="33"/>
    </row>
    <row r="1642" spans="1:2">
      <c r="A1642" s="33"/>
      <c r="B1642" s="33"/>
    </row>
    <row r="1643" spans="1:2">
      <c r="A1643" s="33"/>
      <c r="B1643" s="33"/>
    </row>
    <row r="1644" spans="1:2">
      <c r="A1644" s="33"/>
      <c r="B1644" s="33"/>
    </row>
    <row r="1645" spans="1:2">
      <c r="A1645" s="33"/>
      <c r="B1645" s="33"/>
    </row>
    <row r="1646" spans="1:2">
      <c r="A1646" s="33"/>
      <c r="B1646" s="33"/>
    </row>
    <row r="1647" spans="1:2">
      <c r="A1647" s="33"/>
      <c r="B1647" s="33"/>
    </row>
    <row r="1648" spans="1:2">
      <c r="A1648" s="33"/>
      <c r="B1648" s="33"/>
    </row>
    <row r="1649" spans="1:2">
      <c r="A1649" s="33"/>
      <c r="B1649" s="33"/>
    </row>
    <row r="1650" spans="1:2">
      <c r="A1650" s="33"/>
      <c r="B1650" s="33"/>
    </row>
    <row r="1651" spans="1:2">
      <c r="A1651" s="33"/>
      <c r="B1651" s="33"/>
    </row>
    <row r="1652" spans="1:2">
      <c r="A1652" s="33"/>
      <c r="B1652" s="33"/>
    </row>
    <row r="1653" spans="1:2">
      <c r="A1653" s="33"/>
      <c r="B1653" s="33"/>
    </row>
    <row r="1654" spans="1:2">
      <c r="A1654" s="33"/>
      <c r="B1654" s="33"/>
    </row>
    <row r="1655" spans="1:2">
      <c r="A1655" s="33"/>
      <c r="B1655" s="33"/>
    </row>
    <row r="1656" spans="1:2">
      <c r="A1656" s="33"/>
      <c r="B1656" s="33"/>
    </row>
    <row r="1657" spans="1:2">
      <c r="A1657" s="33"/>
      <c r="B1657" s="33"/>
    </row>
    <row r="1658" spans="1:2">
      <c r="A1658" s="33"/>
      <c r="B1658" s="33"/>
    </row>
    <row r="1659" spans="1:2">
      <c r="A1659" s="33"/>
      <c r="B1659" s="33"/>
    </row>
    <row r="1660" spans="1:2">
      <c r="A1660" s="33"/>
      <c r="B1660" s="33"/>
    </row>
    <row r="1661" spans="1:2">
      <c r="A1661" s="33"/>
      <c r="B1661" s="33"/>
    </row>
    <row r="1662" spans="1:2">
      <c r="A1662" s="33"/>
      <c r="B1662" s="33"/>
    </row>
    <row r="1663" spans="1:2">
      <c r="A1663" s="33"/>
      <c r="B1663" s="33"/>
    </row>
    <row r="1664" spans="1:2">
      <c r="A1664" s="33"/>
      <c r="B1664" s="33"/>
    </row>
    <row r="1665" spans="1:2">
      <c r="A1665" s="33"/>
      <c r="B1665" s="33"/>
    </row>
    <row r="1666" spans="1:2">
      <c r="A1666" s="33"/>
      <c r="B1666" s="33"/>
    </row>
    <row r="1667" spans="1:2">
      <c r="A1667" s="33"/>
      <c r="B1667" s="33"/>
    </row>
    <row r="1668" spans="1:2">
      <c r="A1668" s="33"/>
      <c r="B1668" s="33"/>
    </row>
    <row r="1669" spans="1:2">
      <c r="A1669" s="33"/>
      <c r="B1669" s="33"/>
    </row>
    <row r="1670" spans="1:2">
      <c r="A1670" s="33"/>
      <c r="B1670" s="33"/>
    </row>
    <row r="1671" spans="1:2">
      <c r="A1671" s="33"/>
      <c r="B1671" s="33"/>
    </row>
    <row r="1672" spans="1:2">
      <c r="A1672" s="33"/>
      <c r="B1672" s="33"/>
    </row>
    <row r="1673" spans="1:2">
      <c r="A1673" s="33"/>
      <c r="B1673" s="33"/>
    </row>
    <row r="1674" spans="1:2">
      <c r="A1674" s="33"/>
      <c r="B1674" s="33"/>
    </row>
    <row r="1675" spans="1:2">
      <c r="A1675" s="33"/>
      <c r="B1675" s="33"/>
    </row>
    <row r="1676" spans="1:2">
      <c r="A1676" s="33"/>
      <c r="B1676" s="33"/>
    </row>
    <row r="1677" spans="1:2">
      <c r="A1677" s="33"/>
      <c r="B1677" s="33"/>
    </row>
    <row r="1678" spans="1:2">
      <c r="A1678" s="33"/>
      <c r="B1678" s="33"/>
    </row>
    <row r="1679" spans="1:2">
      <c r="A1679" s="33"/>
      <c r="B1679" s="33"/>
    </row>
    <row r="1680" spans="1:2">
      <c r="A1680" s="33"/>
      <c r="B1680" s="33"/>
    </row>
    <row r="1681" spans="1:2">
      <c r="A1681" s="33"/>
      <c r="B1681" s="33"/>
    </row>
    <row r="1682" spans="1:2">
      <c r="A1682" s="33"/>
      <c r="B1682" s="33"/>
    </row>
    <row r="1683" spans="1:2">
      <c r="A1683" s="33"/>
      <c r="B1683" s="33"/>
    </row>
    <row r="1684" spans="1:2">
      <c r="A1684" s="33"/>
      <c r="B1684" s="33"/>
    </row>
    <row r="1685" spans="1:2">
      <c r="A1685" s="33"/>
      <c r="B1685" s="33"/>
    </row>
    <row r="1686" spans="1:2">
      <c r="A1686" s="33"/>
      <c r="B1686" s="33"/>
    </row>
    <row r="1687" spans="1:2">
      <c r="A1687" s="33"/>
      <c r="B1687" s="33"/>
    </row>
    <row r="1688" spans="1:2">
      <c r="A1688" s="33"/>
      <c r="B1688" s="33"/>
    </row>
    <row r="1689" spans="1:2">
      <c r="A1689" s="33"/>
      <c r="B1689" s="33"/>
    </row>
    <row r="1690" spans="1:2">
      <c r="A1690" s="33"/>
      <c r="B1690" s="33"/>
    </row>
    <row r="1691" spans="1:2">
      <c r="A1691" s="33"/>
      <c r="B1691" s="33"/>
    </row>
    <row r="1692" spans="1:2">
      <c r="A1692" s="33"/>
      <c r="B1692" s="33"/>
    </row>
    <row r="1693" spans="1:2">
      <c r="A1693" s="33"/>
      <c r="B1693" s="33"/>
    </row>
    <row r="1694" spans="1:2">
      <c r="A1694" s="33"/>
      <c r="B1694" s="33"/>
    </row>
    <row r="1695" spans="1:2">
      <c r="A1695" s="33"/>
      <c r="B1695" s="33"/>
    </row>
    <row r="1696" spans="1:2">
      <c r="A1696" s="33"/>
      <c r="B1696" s="33"/>
    </row>
    <row r="1697" spans="1:2">
      <c r="A1697" s="33"/>
      <c r="B1697" s="33"/>
    </row>
    <row r="1698" spans="1:2">
      <c r="A1698" s="33"/>
      <c r="B1698" s="33"/>
    </row>
    <row r="1699" spans="1:2">
      <c r="A1699" s="33"/>
      <c r="B1699" s="33"/>
    </row>
    <row r="1700" spans="1:2">
      <c r="A1700" s="33"/>
      <c r="B1700" s="33"/>
    </row>
    <row r="1701" spans="1:2">
      <c r="A1701" s="33"/>
      <c r="B1701" s="33"/>
    </row>
    <row r="1702" spans="1:2">
      <c r="A1702" s="33"/>
      <c r="B1702" s="33"/>
    </row>
    <row r="1703" spans="1:2">
      <c r="A1703" s="33"/>
      <c r="B1703" s="33"/>
    </row>
    <row r="1704" spans="1:2">
      <c r="A1704" s="33"/>
      <c r="B1704" s="33"/>
    </row>
    <row r="1705" spans="1:2">
      <c r="A1705" s="33"/>
      <c r="B1705" s="33"/>
    </row>
    <row r="1706" spans="1:2">
      <c r="A1706" s="33"/>
      <c r="B1706" s="33"/>
    </row>
    <row r="1707" spans="1:2">
      <c r="A1707" s="33"/>
      <c r="B1707" s="33"/>
    </row>
    <row r="1708" spans="1:2">
      <c r="A1708" s="33"/>
      <c r="B1708" s="33"/>
    </row>
    <row r="1709" spans="1:2">
      <c r="A1709" s="33"/>
      <c r="B1709" s="33"/>
    </row>
    <row r="1710" spans="1:2">
      <c r="A1710" s="33"/>
      <c r="B1710" s="33"/>
    </row>
    <row r="1711" spans="1:2">
      <c r="A1711" s="33"/>
      <c r="B1711" s="33"/>
    </row>
    <row r="1712" spans="1:2">
      <c r="A1712" s="33"/>
      <c r="B1712" s="33"/>
    </row>
    <row r="1713" spans="1:2">
      <c r="A1713" s="33"/>
      <c r="B1713" s="33"/>
    </row>
    <row r="1714" spans="1:2">
      <c r="A1714" s="33"/>
      <c r="B1714" s="33"/>
    </row>
    <row r="1715" spans="1:2">
      <c r="A1715" s="33"/>
      <c r="B1715" s="33"/>
    </row>
    <row r="1716" spans="1:2">
      <c r="A1716" s="33"/>
      <c r="B1716" s="33"/>
    </row>
    <row r="1717" spans="1:2">
      <c r="A1717" s="33"/>
      <c r="B1717" s="33"/>
    </row>
    <row r="1718" spans="1:2">
      <c r="A1718" s="33"/>
      <c r="B1718" s="33"/>
    </row>
    <row r="1719" spans="1:2">
      <c r="A1719" s="33"/>
      <c r="B1719" s="33"/>
    </row>
    <row r="1720" spans="1:2">
      <c r="A1720" s="33"/>
      <c r="B1720" s="33"/>
    </row>
    <row r="1721" spans="1:2">
      <c r="A1721" s="33"/>
      <c r="B1721" s="33"/>
    </row>
    <row r="1722" spans="1:2">
      <c r="A1722" s="33"/>
      <c r="B1722" s="33"/>
    </row>
    <row r="1723" spans="1:2">
      <c r="A1723" s="33"/>
      <c r="B1723" s="33"/>
    </row>
    <row r="1724" spans="1:2">
      <c r="A1724" s="33"/>
      <c r="B1724" s="33"/>
    </row>
    <row r="1725" spans="1:2">
      <c r="A1725" s="33"/>
      <c r="B1725" s="33"/>
    </row>
    <row r="1726" spans="1:2">
      <c r="A1726" s="33"/>
      <c r="B1726" s="33"/>
    </row>
    <row r="1727" spans="1:2">
      <c r="A1727" s="33"/>
      <c r="B1727" s="33"/>
    </row>
    <row r="1728" spans="1:2">
      <c r="A1728" s="33"/>
      <c r="B1728" s="33"/>
    </row>
    <row r="1729" spans="1:2">
      <c r="A1729" s="33"/>
      <c r="B1729" s="33"/>
    </row>
    <row r="1730" spans="1:2">
      <c r="A1730" s="33"/>
      <c r="B1730" s="33"/>
    </row>
    <row r="1731" spans="1:2">
      <c r="A1731" s="33"/>
      <c r="B1731" s="33"/>
    </row>
    <row r="1732" spans="1:2">
      <c r="A1732" s="33"/>
      <c r="B1732" s="33"/>
    </row>
    <row r="1733" spans="1:2">
      <c r="A1733" s="33"/>
      <c r="B1733" s="33"/>
    </row>
    <row r="1734" spans="1:2">
      <c r="A1734" s="33"/>
      <c r="B1734" s="33"/>
    </row>
    <row r="1735" spans="1:2">
      <c r="A1735" s="33"/>
      <c r="B1735" s="33"/>
    </row>
    <row r="1736" spans="1:2">
      <c r="A1736" s="33"/>
      <c r="B1736" s="33"/>
    </row>
    <row r="1737" spans="1:2">
      <c r="A1737" s="33"/>
      <c r="B1737" s="33"/>
    </row>
    <row r="1738" spans="1:2">
      <c r="A1738" s="33"/>
      <c r="B1738" s="33"/>
    </row>
    <row r="1739" spans="1:2">
      <c r="A1739" s="33"/>
      <c r="B1739" s="33"/>
    </row>
    <row r="1740" spans="1:2">
      <c r="A1740" s="33"/>
      <c r="B1740" s="33"/>
    </row>
    <row r="1741" spans="1:2">
      <c r="A1741" s="33"/>
      <c r="B1741" s="33"/>
    </row>
    <row r="1742" spans="1:2">
      <c r="A1742" s="33"/>
      <c r="B1742" s="33"/>
    </row>
    <row r="1743" spans="1:2">
      <c r="A1743" s="33"/>
      <c r="B1743" s="33"/>
    </row>
    <row r="1744" spans="1:2">
      <c r="A1744" s="33"/>
      <c r="B1744" s="33"/>
    </row>
    <row r="1745" spans="1:2">
      <c r="A1745" s="33"/>
      <c r="B1745" s="33"/>
    </row>
    <row r="1746" spans="1:2">
      <c r="A1746" s="33"/>
      <c r="B1746" s="33"/>
    </row>
    <row r="1747" spans="1:2">
      <c r="A1747" s="33"/>
      <c r="B1747" s="33"/>
    </row>
    <row r="1748" spans="1:2">
      <c r="A1748" s="33"/>
      <c r="B1748" s="33"/>
    </row>
    <row r="1749" spans="1:2">
      <c r="A1749" s="33"/>
      <c r="B1749" s="33"/>
    </row>
    <row r="1750" spans="1:2">
      <c r="A1750" s="33"/>
      <c r="B1750" s="33"/>
    </row>
    <row r="1751" spans="1:2">
      <c r="A1751" s="33"/>
      <c r="B1751" s="33"/>
    </row>
    <row r="1752" spans="1:2">
      <c r="A1752" s="33"/>
      <c r="B1752" s="33"/>
    </row>
    <row r="1753" spans="1:2">
      <c r="A1753" s="33"/>
      <c r="B1753" s="33"/>
    </row>
    <row r="1754" spans="1:2">
      <c r="A1754" s="33"/>
      <c r="B1754" s="33"/>
    </row>
    <row r="1755" spans="1:2">
      <c r="A1755" s="33"/>
      <c r="B1755" s="33"/>
    </row>
    <row r="1756" spans="1:2">
      <c r="A1756" s="33"/>
      <c r="B1756" s="33"/>
    </row>
    <row r="1757" spans="1:2">
      <c r="A1757" s="33"/>
      <c r="B1757" s="33"/>
    </row>
    <row r="1758" spans="1:2">
      <c r="A1758" s="33"/>
      <c r="B1758" s="33"/>
    </row>
    <row r="1759" spans="1:2">
      <c r="A1759" s="33"/>
      <c r="B1759" s="33"/>
    </row>
    <row r="1760" spans="1:2">
      <c r="A1760" s="33"/>
      <c r="B1760" s="33"/>
    </row>
    <row r="1761" spans="1:2">
      <c r="A1761" s="33"/>
      <c r="B1761" s="33"/>
    </row>
    <row r="1762" spans="1:2">
      <c r="A1762" s="33"/>
      <c r="B1762" s="33"/>
    </row>
    <row r="1763" spans="1:2">
      <c r="A1763" s="33"/>
      <c r="B1763" s="33"/>
    </row>
    <row r="1764" spans="1:2">
      <c r="A1764" s="33"/>
      <c r="B1764" s="33"/>
    </row>
    <row r="1765" spans="1:2">
      <c r="A1765" s="33"/>
      <c r="B1765" s="33"/>
    </row>
    <row r="1766" spans="1:2">
      <c r="A1766" s="33"/>
      <c r="B1766" s="33"/>
    </row>
    <row r="1767" spans="1:2">
      <c r="A1767" s="33"/>
      <c r="B1767" s="33"/>
    </row>
    <row r="1768" spans="1:2">
      <c r="A1768" s="33"/>
      <c r="B1768" s="33"/>
    </row>
    <row r="1769" spans="1:2">
      <c r="A1769" s="33"/>
      <c r="B1769" s="33"/>
    </row>
    <row r="1770" spans="1:2">
      <c r="A1770" s="33"/>
      <c r="B1770" s="33"/>
    </row>
    <row r="1771" spans="1:2">
      <c r="A1771" s="33"/>
      <c r="B1771" s="33"/>
    </row>
    <row r="1772" spans="1:2">
      <c r="A1772" s="33"/>
      <c r="B1772" s="33"/>
    </row>
    <row r="1773" spans="1:2">
      <c r="A1773" s="33"/>
      <c r="B1773" s="33"/>
    </row>
    <row r="1774" spans="1:2">
      <c r="A1774" s="33"/>
      <c r="B1774" s="33"/>
    </row>
    <row r="1775" spans="1:2">
      <c r="A1775" s="33"/>
      <c r="B1775" s="33"/>
    </row>
    <row r="1776" spans="1:2">
      <c r="A1776" s="33"/>
      <c r="B1776" s="33"/>
    </row>
    <row r="1777" spans="1:2">
      <c r="A1777" s="33"/>
      <c r="B1777" s="33"/>
    </row>
    <row r="1778" spans="1:2">
      <c r="A1778" s="33"/>
      <c r="B1778" s="33"/>
    </row>
    <row r="1779" spans="1:2">
      <c r="A1779" s="33"/>
      <c r="B1779" s="33"/>
    </row>
    <row r="1780" spans="1:2">
      <c r="A1780" s="33"/>
      <c r="B1780" s="33"/>
    </row>
    <row r="1781" spans="1:2">
      <c r="A1781" s="33"/>
      <c r="B1781" s="33"/>
    </row>
    <row r="1782" spans="1:2">
      <c r="A1782" s="33"/>
      <c r="B1782" s="33"/>
    </row>
    <row r="1783" spans="1:2">
      <c r="A1783" s="33"/>
      <c r="B1783" s="33"/>
    </row>
    <row r="1784" spans="1:2">
      <c r="A1784" s="27" t="s">
        <v>290</v>
      </c>
      <c r="B1784" s="27" t="s">
        <v>290</v>
      </c>
    </row>
  </sheetData>
  <sortState xmlns:xlrd2="http://schemas.microsoft.com/office/spreadsheetml/2017/richdata2" ref="A2:A247">
    <sortCondition ref="A2"/>
  </sortState>
  <dataConsolidate/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5294B6E3-49A8-45A8-8D66-A713A7F82DB5}">
            <xm:f>NOT(ISERROR(SEARCH("CODE NEEDED",B2)))</xm:f>
            <xm:f>"CODE NEEDED"</xm:f>
            <x14:dxf>
              <font>
                <b/>
                <i/>
                <color rgb="FFFF0000"/>
              </font>
            </x14:dxf>
          </x14:cfRule>
          <xm:sqref>B400:B404 B2:B398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503"/>
  <sheetViews>
    <sheetView topLeftCell="P1" workbookViewId="0">
      <selection activeCell="U33" sqref="U33"/>
    </sheetView>
  </sheetViews>
  <sheetFormatPr defaultRowHeight="14.4"/>
  <cols>
    <col min="1" max="1" width="19.33203125" bestFit="1" customWidth="1"/>
    <col min="2" max="2" width="4" customWidth="1"/>
    <col min="3" max="4" width="19.33203125" style="13" customWidth="1"/>
    <col min="5" max="5" width="19.33203125" style="141" customWidth="1"/>
    <col min="6" max="6" width="19.33203125" style="13" customWidth="1"/>
    <col min="7" max="7" width="4.44140625" style="13" customWidth="1"/>
    <col min="8" max="8" width="46" style="13" bestFit="1" customWidth="1"/>
    <col min="9" max="9" width="57.44140625" style="13" bestFit="1" customWidth="1"/>
    <col min="10" max="10" width="54.88671875" style="13" hidden="1" customWidth="1"/>
    <col min="11" max="11" width="51.44140625" style="13" hidden="1" customWidth="1"/>
    <col min="12" max="12" width="57.44140625" style="13" bestFit="1" customWidth="1"/>
    <col min="13" max="13" width="57.44140625" style="13" customWidth="1"/>
    <col min="14" max="14" width="54.5546875" bestFit="1" customWidth="1"/>
    <col min="15" max="15" width="57.44140625" style="13" bestFit="1" customWidth="1"/>
    <col min="16" max="16" width="57.44140625" style="13" customWidth="1"/>
    <col min="17" max="17" width="54.88671875" style="13" hidden="1" customWidth="1"/>
    <col min="18" max="18" width="54.88671875" style="13" customWidth="1"/>
    <col min="19" max="20" width="57.44140625" style="13" bestFit="1" customWidth="1"/>
    <col min="21" max="21" width="57.44140625" style="13" customWidth="1"/>
    <col min="22" max="23" width="57.44140625" style="13" bestFit="1" customWidth="1"/>
    <col min="24" max="24" width="54.88671875" style="13" hidden="1" customWidth="1"/>
    <col min="25" max="25" width="44.44140625" style="13" bestFit="1" customWidth="1"/>
    <col min="26" max="26" width="67.44140625" style="13" bestFit="1" customWidth="1"/>
    <col min="27" max="27" width="67.44140625" style="13" customWidth="1"/>
    <col min="28" max="28" width="51.44140625" style="13" hidden="1" customWidth="1"/>
    <col min="29" max="29" width="54.88671875" style="13" bestFit="1" customWidth="1"/>
    <col min="30" max="30" width="52.6640625" style="13" bestFit="1" customWidth="1"/>
  </cols>
  <sheetData>
    <row r="1" spans="1:30" s="60" customFormat="1">
      <c r="A1" s="39" t="s">
        <v>27</v>
      </c>
      <c r="C1" s="134" t="str">
        <f>IF('HH Alert Form 2018'!C12="","",'HH Alert Form 2018'!C12)</f>
        <v/>
      </c>
      <c r="D1" s="24" t="s">
        <v>607</v>
      </c>
      <c r="E1" s="138" t="s">
        <v>608</v>
      </c>
      <c r="F1" s="24" t="s">
        <v>609</v>
      </c>
      <c r="G1" s="134"/>
      <c r="H1" s="57" t="s">
        <v>405</v>
      </c>
      <c r="I1" s="58" t="s">
        <v>406</v>
      </c>
      <c r="J1" s="58" t="s">
        <v>407</v>
      </c>
      <c r="K1" s="58" t="s">
        <v>408</v>
      </c>
      <c r="L1" s="58" t="s">
        <v>409</v>
      </c>
      <c r="M1" s="47" t="s">
        <v>467</v>
      </c>
      <c r="N1" s="106" t="s">
        <v>582</v>
      </c>
      <c r="O1" s="42" t="s">
        <v>410</v>
      </c>
      <c r="P1" s="42" t="s">
        <v>591</v>
      </c>
      <c r="Q1" s="42" t="s">
        <v>411</v>
      </c>
      <c r="R1" s="104" t="s">
        <v>587</v>
      </c>
      <c r="S1" s="42" t="s">
        <v>412</v>
      </c>
      <c r="T1" s="47" t="s">
        <v>413</v>
      </c>
      <c r="U1" s="47" t="s">
        <v>566</v>
      </c>
      <c r="V1" s="42" t="s">
        <v>414</v>
      </c>
      <c r="W1" s="42" t="s">
        <v>415</v>
      </c>
      <c r="X1" s="42" t="s">
        <v>420</v>
      </c>
      <c r="Y1" s="42" t="s">
        <v>416</v>
      </c>
      <c r="Z1" s="42" t="s">
        <v>417</v>
      </c>
      <c r="AA1" s="72" t="s">
        <v>490</v>
      </c>
      <c r="AB1" s="42" t="s">
        <v>418</v>
      </c>
      <c r="AC1" s="42" t="s">
        <v>419</v>
      </c>
      <c r="AD1" s="59" t="s">
        <v>567</v>
      </c>
    </row>
    <row r="2" spans="1:30">
      <c r="A2" s="44" t="s">
        <v>405</v>
      </c>
      <c r="B2" s="136"/>
      <c r="C2" s="44" t="s">
        <v>405</v>
      </c>
      <c r="D2" s="137">
        <f>--ISNUMBER(SEARCH($C$1,C2))</f>
        <v>1</v>
      </c>
      <c r="E2" s="139">
        <f>IF(D2=1,COUNTIF($D$2:$D2,1),"")</f>
        <v>1</v>
      </c>
      <c r="F2" s="135" t="str">
        <f>IFERROR(INDEX($C$2:$C$19,MATCH(ROWS($E$2:$E2),$E$2:$E$19,0)),"")</f>
        <v>Ahmadiyeh_Nasim</v>
      </c>
      <c r="G2" s="135"/>
      <c r="H2" s="144"/>
      <c r="I2" s="40"/>
      <c r="J2" s="40"/>
      <c r="K2" s="40"/>
      <c r="L2" s="46"/>
      <c r="M2" s="46"/>
      <c r="N2" s="56"/>
      <c r="O2" s="40"/>
      <c r="P2" s="40"/>
      <c r="Q2" s="40"/>
      <c r="R2" s="40"/>
      <c r="S2" s="149"/>
      <c r="T2" s="46"/>
      <c r="U2" s="55"/>
      <c r="V2" s="40"/>
      <c r="W2" s="40"/>
      <c r="X2" s="40"/>
      <c r="Y2" s="40"/>
      <c r="Z2" s="40"/>
      <c r="AA2" s="74"/>
      <c r="AB2" s="40"/>
      <c r="AC2" s="40"/>
    </row>
    <row r="3" spans="1:30">
      <c r="A3" s="43" t="s">
        <v>406</v>
      </c>
      <c r="B3" s="124"/>
      <c r="C3" s="43" t="s">
        <v>406</v>
      </c>
      <c r="D3" s="137">
        <f t="shared" ref="D3:D19" si="0">--ISNUMBER(SEARCH($C$1,C3))</f>
        <v>1</v>
      </c>
      <c r="E3" s="139">
        <f>IF(D3=1,COUNTIF($D$2:$D3,1),"")</f>
        <v>2</v>
      </c>
      <c r="F3" s="135" t="str">
        <f>IFERROR(INDEX($C$2:$C$19,MATCH(ROWS($E$2:$E3),$E$2:$E$19,0)),"")</f>
        <v>Augustin_Stanley</v>
      </c>
      <c r="G3" s="135"/>
      <c r="H3" s="144" t="s">
        <v>45</v>
      </c>
      <c r="I3" s="40" t="s">
        <v>39</v>
      </c>
      <c r="J3" s="40" t="s">
        <v>144</v>
      </c>
      <c r="K3" s="40" t="s">
        <v>144</v>
      </c>
      <c r="L3" s="46" t="s">
        <v>39</v>
      </c>
      <c r="M3" s="46" t="s">
        <v>425</v>
      </c>
      <c r="N3" s="56" t="s">
        <v>43</v>
      </c>
      <c r="O3" s="40" t="s">
        <v>39</v>
      </c>
      <c r="P3" s="40" t="s">
        <v>521</v>
      </c>
      <c r="Q3" s="40" t="s">
        <v>144</v>
      </c>
      <c r="R3" s="40" t="s">
        <v>520</v>
      </c>
      <c r="S3" s="149" t="s">
        <v>41</v>
      </c>
      <c r="T3" s="46" t="s">
        <v>39</v>
      </c>
      <c r="U3" s="40" t="s">
        <v>521</v>
      </c>
      <c r="V3" s="40" t="s">
        <v>39</v>
      </c>
      <c r="W3" s="40" t="s">
        <v>39</v>
      </c>
      <c r="X3" s="40" t="s">
        <v>144</v>
      </c>
      <c r="Y3" s="40" t="s">
        <v>231</v>
      </c>
      <c r="Z3" s="40" t="s">
        <v>279</v>
      </c>
      <c r="AA3" s="74" t="s">
        <v>491</v>
      </c>
      <c r="AB3" s="40" t="s">
        <v>144</v>
      </c>
      <c r="AC3" s="40" t="s">
        <v>144</v>
      </c>
      <c r="AD3" s="102" t="s">
        <v>40</v>
      </c>
    </row>
    <row r="4" spans="1:30">
      <c r="A4" s="121" t="s">
        <v>409</v>
      </c>
      <c r="B4" s="122"/>
      <c r="C4" s="121" t="s">
        <v>409</v>
      </c>
      <c r="D4" s="137">
        <f t="shared" si="0"/>
        <v>1</v>
      </c>
      <c r="E4" s="139">
        <f>IF(D4=1,COUNTIF($D$2:$D4,1),"")</f>
        <v>3</v>
      </c>
      <c r="F4" s="135" t="str">
        <f>IFERROR(INDEX($C$2:$C$19,MATCH(ROWS($E$2:$E4),$E$2:$E$19,0)),"")</f>
        <v>Geehan_Douglas</v>
      </c>
      <c r="G4" s="135"/>
      <c r="H4" s="37" t="s">
        <v>30</v>
      </c>
      <c r="I4" s="40" t="s">
        <v>40</v>
      </c>
      <c r="J4" s="40" t="s">
        <v>145</v>
      </c>
      <c r="K4" s="40" t="s">
        <v>145</v>
      </c>
      <c r="L4" s="46" t="s">
        <v>40</v>
      </c>
      <c r="M4" s="46" t="s">
        <v>426</v>
      </c>
      <c r="N4" s="56" t="s">
        <v>44</v>
      </c>
      <c r="O4" s="40" t="s">
        <v>40</v>
      </c>
      <c r="P4" s="40" t="s">
        <v>662</v>
      </c>
      <c r="Q4" s="40" t="s">
        <v>145</v>
      </c>
      <c r="R4" s="123" t="s">
        <v>521</v>
      </c>
      <c r="S4" s="142" t="s">
        <v>44</v>
      </c>
      <c r="T4" s="40" t="s">
        <v>40</v>
      </c>
      <c r="U4" s="149" t="s">
        <v>522</v>
      </c>
      <c r="V4" s="40" t="s">
        <v>40</v>
      </c>
      <c r="W4" s="40" t="s">
        <v>247</v>
      </c>
      <c r="X4" s="40" t="s">
        <v>145</v>
      </c>
      <c r="Y4" s="40" t="s">
        <v>257</v>
      </c>
      <c r="Z4" s="40" t="s">
        <v>280</v>
      </c>
      <c r="AA4" s="74" t="s">
        <v>492</v>
      </c>
      <c r="AB4" s="40" t="s">
        <v>145</v>
      </c>
      <c r="AC4" s="40" t="s">
        <v>145</v>
      </c>
      <c r="AD4" s="102" t="s">
        <v>521</v>
      </c>
    </row>
    <row r="5" spans="1:30">
      <c r="A5" s="121" t="s">
        <v>467</v>
      </c>
      <c r="B5" s="122"/>
      <c r="C5" s="121" t="s">
        <v>467</v>
      </c>
      <c r="D5" s="137">
        <f t="shared" si="0"/>
        <v>1</v>
      </c>
      <c r="E5" s="139">
        <f>IF(D5=1,COUNTIF($D$2:$D5,1),"")</f>
        <v>4</v>
      </c>
      <c r="F5" s="135" t="str">
        <f>IFERROR(INDEX($C$2:$C$19,MATCH(ROWS($E$2:$E5),$E$2:$E$19,0)),"")</f>
        <v>Gianino_John</v>
      </c>
      <c r="G5" s="135"/>
      <c r="H5" s="37" t="s">
        <v>31</v>
      </c>
      <c r="I5" s="40" t="s">
        <v>14</v>
      </c>
      <c r="J5" s="40" t="s">
        <v>146</v>
      </c>
      <c r="K5" s="40" t="s">
        <v>146</v>
      </c>
      <c r="L5" s="46" t="s">
        <v>14</v>
      </c>
      <c r="M5" s="46" t="s">
        <v>427</v>
      </c>
      <c r="N5" s="56" t="s">
        <v>47</v>
      </c>
      <c r="O5" s="40" t="s">
        <v>41</v>
      </c>
      <c r="P5" s="40" t="s">
        <v>523</v>
      </c>
      <c r="Q5" s="40" t="s">
        <v>146</v>
      </c>
      <c r="R5" s="123" t="s">
        <v>522</v>
      </c>
      <c r="S5" s="149" t="s">
        <v>48</v>
      </c>
      <c r="T5" s="46" t="s">
        <v>230</v>
      </c>
      <c r="U5" s="149" t="s">
        <v>570</v>
      </c>
      <c r="V5" s="40" t="s">
        <v>41</v>
      </c>
      <c r="W5" s="40" t="s">
        <v>40</v>
      </c>
      <c r="X5" s="40" t="s">
        <v>146</v>
      </c>
      <c r="Y5" s="40" t="s">
        <v>258</v>
      </c>
      <c r="Z5" s="40" t="s">
        <v>39</v>
      </c>
      <c r="AA5" s="74" t="s">
        <v>171</v>
      </c>
      <c r="AB5" s="40" t="s">
        <v>146</v>
      </c>
      <c r="AC5" s="40" t="s">
        <v>146</v>
      </c>
      <c r="AD5" s="102" t="s">
        <v>522</v>
      </c>
    </row>
    <row r="6" spans="1:30">
      <c r="A6" s="128" t="s">
        <v>582</v>
      </c>
      <c r="B6" s="129"/>
      <c r="C6" s="128" t="s">
        <v>582</v>
      </c>
      <c r="D6" s="137">
        <f t="shared" si="0"/>
        <v>1</v>
      </c>
      <c r="E6" s="139">
        <f>IF(D6=1,COUNTIF($D$2:$D6,1),"")</f>
        <v>5</v>
      </c>
      <c r="F6" s="135" t="str">
        <f>IFERROR(INDEX($C$2:$C$19,MATCH(ROWS($E$2:$E6),$E$2:$E$19,0)),"")</f>
        <v>Johnston_Benjamin</v>
      </c>
      <c r="G6" s="135"/>
      <c r="H6" s="37" t="s">
        <v>32</v>
      </c>
      <c r="I6" s="40" t="s">
        <v>41</v>
      </c>
      <c r="J6" s="40" t="s">
        <v>147</v>
      </c>
      <c r="K6" s="40" t="s">
        <v>147</v>
      </c>
      <c r="L6" s="46" t="s">
        <v>41</v>
      </c>
      <c r="M6" s="46" t="s">
        <v>428</v>
      </c>
      <c r="N6" s="56" t="s">
        <v>48</v>
      </c>
      <c r="O6" s="40" t="s">
        <v>42</v>
      </c>
      <c r="P6" s="40" t="s">
        <v>589</v>
      </c>
      <c r="Q6" s="40" t="s">
        <v>148</v>
      </c>
      <c r="R6" s="40" t="s">
        <v>589</v>
      </c>
      <c r="S6" s="149" t="s">
        <v>49</v>
      </c>
      <c r="T6" s="46" t="s">
        <v>42</v>
      </c>
      <c r="U6" s="149" t="s">
        <v>568</v>
      </c>
      <c r="V6" s="40" t="s">
        <v>42</v>
      </c>
      <c r="W6" s="40" t="s">
        <v>14</v>
      </c>
      <c r="X6" s="40" t="s">
        <v>148</v>
      </c>
      <c r="Y6" s="40" t="s">
        <v>259</v>
      </c>
      <c r="Z6" s="40" t="s">
        <v>40</v>
      </c>
      <c r="AA6" s="74" t="s">
        <v>493</v>
      </c>
      <c r="AB6" s="40" t="s">
        <v>147</v>
      </c>
      <c r="AC6" s="40" t="s">
        <v>288</v>
      </c>
      <c r="AD6" s="102" t="s">
        <v>570</v>
      </c>
    </row>
    <row r="7" spans="1:30">
      <c r="A7" s="128" t="s">
        <v>410</v>
      </c>
      <c r="B7" s="129"/>
      <c r="C7" s="128" t="s">
        <v>410</v>
      </c>
      <c r="D7" s="137">
        <f t="shared" si="0"/>
        <v>1</v>
      </c>
      <c r="E7" s="139">
        <f>IF(D7=1,COUNTIF($D$2:$D7,1),"")</f>
        <v>6</v>
      </c>
      <c r="F7" s="135" t="str">
        <f>IFERROR(INDEX($C$2:$C$19,MATCH(ROWS($E$2:$E7),$E$2:$E$19,0)),"")</f>
        <v>Kremer_Howard</v>
      </c>
      <c r="G7" s="135"/>
      <c r="H7" s="37" t="s">
        <v>33</v>
      </c>
      <c r="I7" s="40" t="s">
        <v>42</v>
      </c>
      <c r="J7" s="40" t="s">
        <v>148</v>
      </c>
      <c r="K7" s="40" t="s">
        <v>149</v>
      </c>
      <c r="L7" s="46" t="s">
        <v>42</v>
      </c>
      <c r="M7" s="46" t="s">
        <v>429</v>
      </c>
      <c r="N7" s="56" t="s">
        <v>49</v>
      </c>
      <c r="O7" s="40" t="s">
        <v>43</v>
      </c>
      <c r="P7" s="40" t="s">
        <v>527</v>
      </c>
      <c r="Q7" s="40" t="s">
        <v>149</v>
      </c>
      <c r="R7" s="40" t="s">
        <v>529</v>
      </c>
      <c r="S7" s="149" t="s">
        <v>224</v>
      </c>
      <c r="T7" s="46" t="s">
        <v>43</v>
      </c>
      <c r="U7" s="149" t="s">
        <v>668</v>
      </c>
      <c r="V7" s="40" t="s">
        <v>44</v>
      </c>
      <c r="W7" s="40" t="s">
        <v>41</v>
      </c>
      <c r="X7" s="40" t="s">
        <v>149</v>
      </c>
      <c r="Y7" s="40" t="s">
        <v>260</v>
      </c>
      <c r="Z7" s="40" t="s">
        <v>14</v>
      </c>
      <c r="AA7" s="74" t="s">
        <v>494</v>
      </c>
      <c r="AB7" s="40" t="s">
        <v>149</v>
      </c>
      <c r="AC7" s="40" t="s">
        <v>149</v>
      </c>
      <c r="AD7" s="102" t="s">
        <v>568</v>
      </c>
    </row>
    <row r="8" spans="1:30">
      <c r="A8" s="129" t="s">
        <v>591</v>
      </c>
      <c r="B8" s="129"/>
      <c r="C8" s="129" t="s">
        <v>591</v>
      </c>
      <c r="D8" s="137">
        <f t="shared" si="0"/>
        <v>1</v>
      </c>
      <c r="E8" s="139">
        <f>IF(D8=1,COUNTIF($D$2:$D8,1),"")</f>
        <v>7</v>
      </c>
      <c r="F8" s="135" t="str">
        <f>IFERROR(INDEX($C$2:$C$19,MATCH(ROWS($E$2:$E8),$E$2:$E$19,0)),"")</f>
        <v>Kowalik_Casey</v>
      </c>
      <c r="G8" s="135"/>
      <c r="H8" s="37" t="s">
        <v>34</v>
      </c>
      <c r="I8" s="40" t="s">
        <v>43</v>
      </c>
      <c r="J8" s="40" t="s">
        <v>149</v>
      </c>
      <c r="K8" s="40" t="s">
        <v>150</v>
      </c>
      <c r="L8" s="46" t="s">
        <v>193</v>
      </c>
      <c r="M8" s="46" t="s">
        <v>430</v>
      </c>
      <c r="N8" s="56" t="s">
        <v>52</v>
      </c>
      <c r="O8" s="40" t="s">
        <v>44</v>
      </c>
      <c r="P8" s="40" t="s">
        <v>529</v>
      </c>
      <c r="Q8" s="40" t="s">
        <v>156</v>
      </c>
      <c r="R8" s="40" t="s">
        <v>531</v>
      </c>
      <c r="S8" s="149" t="s">
        <v>55</v>
      </c>
      <c r="T8" s="46" t="s">
        <v>44</v>
      </c>
      <c r="U8" s="149" t="s">
        <v>523</v>
      </c>
      <c r="V8" s="40" t="s">
        <v>45</v>
      </c>
      <c r="W8" s="40" t="s">
        <v>42</v>
      </c>
      <c r="X8" s="40" t="s">
        <v>156</v>
      </c>
      <c r="Y8" s="40" t="s">
        <v>261</v>
      </c>
      <c r="Z8" s="40" t="s">
        <v>41</v>
      </c>
      <c r="AA8" s="74" t="s">
        <v>88</v>
      </c>
      <c r="AB8" s="40" t="s">
        <v>156</v>
      </c>
      <c r="AC8" s="40" t="s">
        <v>150</v>
      </c>
      <c r="AD8" s="102" t="s">
        <v>523</v>
      </c>
    </row>
    <row r="9" spans="1:30">
      <c r="A9" s="129" t="s">
        <v>587</v>
      </c>
      <c r="B9" s="129"/>
      <c r="C9" s="129" t="s">
        <v>587</v>
      </c>
      <c r="D9" s="137">
        <f t="shared" si="0"/>
        <v>1</v>
      </c>
      <c r="E9" s="139">
        <f>IF(D9=1,COUNTIF($D$2:$D9,1),"")</f>
        <v>8</v>
      </c>
      <c r="F9" s="135" t="str">
        <f>IFERROR(INDEX($C$2:$C$19,MATCH(ROWS($E$2:$E9),$E$2:$E$19,0)),"")</f>
        <v>Molina_Wilson</v>
      </c>
      <c r="G9" s="135"/>
      <c r="H9" s="37" t="s">
        <v>35</v>
      </c>
      <c r="I9" s="40" t="s">
        <v>44</v>
      </c>
      <c r="J9" s="40" t="s">
        <v>156</v>
      </c>
      <c r="K9" s="40" t="s">
        <v>151</v>
      </c>
      <c r="L9" s="46" t="s">
        <v>43</v>
      </c>
      <c r="M9" s="46" t="s">
        <v>431</v>
      </c>
      <c r="N9" s="56" t="s">
        <v>61</v>
      </c>
      <c r="O9" s="40" t="s">
        <v>45</v>
      </c>
      <c r="P9" s="40" t="s">
        <v>530</v>
      </c>
      <c r="Q9" s="40" t="s">
        <v>150</v>
      </c>
      <c r="R9" s="40" t="s">
        <v>533</v>
      </c>
      <c r="S9" s="149" t="s">
        <v>58</v>
      </c>
      <c r="T9" s="46" t="s">
        <v>45</v>
      </c>
      <c r="U9" s="149" t="s">
        <v>589</v>
      </c>
      <c r="V9" s="40" t="s">
        <v>30</v>
      </c>
      <c r="W9" s="40" t="s">
        <v>43</v>
      </c>
      <c r="X9" s="40" t="s">
        <v>151</v>
      </c>
      <c r="Y9" s="40" t="s">
        <v>262</v>
      </c>
      <c r="Z9" s="40" t="s">
        <v>230</v>
      </c>
      <c r="AA9" s="74" t="s">
        <v>495</v>
      </c>
      <c r="AB9" s="40" t="s">
        <v>150</v>
      </c>
      <c r="AC9" s="40" t="s">
        <v>151</v>
      </c>
      <c r="AD9" s="102" t="s">
        <v>524</v>
      </c>
    </row>
    <row r="10" spans="1:30">
      <c r="A10" s="128" t="s">
        <v>412</v>
      </c>
      <c r="B10" s="129"/>
      <c r="C10" s="128" t="s">
        <v>412</v>
      </c>
      <c r="D10" s="137">
        <f t="shared" si="0"/>
        <v>1</v>
      </c>
      <c r="E10" s="139">
        <f>IF(D10=1,COUNTIF($D$2:$D10,1),"")</f>
        <v>9</v>
      </c>
      <c r="F10" s="135" t="str">
        <f>IFERROR(INDEX($C$2:$C$19,MATCH(ROWS($E$2:$E10),$E$2:$E$19,0)),"")</f>
        <v>Moncure_Michael</v>
      </c>
      <c r="G10" s="135"/>
      <c r="H10" s="38" t="s">
        <v>36</v>
      </c>
      <c r="I10" s="40" t="s">
        <v>45</v>
      </c>
      <c r="J10" s="40" t="s">
        <v>150</v>
      </c>
      <c r="K10" s="40" t="s">
        <v>152</v>
      </c>
      <c r="L10" s="46" t="s">
        <v>44</v>
      </c>
      <c r="M10" s="46" t="s">
        <v>432</v>
      </c>
      <c r="N10" s="56" t="s">
        <v>241</v>
      </c>
      <c r="O10" s="40" t="s">
        <v>30</v>
      </c>
      <c r="P10" s="40" t="s">
        <v>531</v>
      </c>
      <c r="Q10" s="40" t="s">
        <v>151</v>
      </c>
      <c r="R10" s="40" t="s">
        <v>539</v>
      </c>
      <c r="S10" s="142" t="s">
        <v>60</v>
      </c>
      <c r="T10" s="46" t="s">
        <v>30</v>
      </c>
      <c r="U10" s="149" t="s">
        <v>525</v>
      </c>
      <c r="V10" s="40" t="s">
        <v>31</v>
      </c>
      <c r="W10" s="40" t="s">
        <v>44</v>
      </c>
      <c r="X10" s="40" t="s">
        <v>152</v>
      </c>
      <c r="Y10" s="40" t="s">
        <v>69</v>
      </c>
      <c r="Z10" s="40" t="s">
        <v>42</v>
      </c>
      <c r="AA10" s="74" t="s">
        <v>186</v>
      </c>
      <c r="AB10" s="40" t="s">
        <v>151</v>
      </c>
      <c r="AC10" s="40" t="s">
        <v>152</v>
      </c>
      <c r="AD10" s="102" t="s">
        <v>589</v>
      </c>
    </row>
    <row r="11" spans="1:30">
      <c r="A11" s="128" t="s">
        <v>413</v>
      </c>
      <c r="B11" s="129"/>
      <c r="C11" s="128" t="s">
        <v>413</v>
      </c>
      <c r="D11" s="137">
        <f t="shared" si="0"/>
        <v>1</v>
      </c>
      <c r="E11" s="139">
        <f>IF(D11=1,COUNTIF($D$2:$D11,1),"")</f>
        <v>10</v>
      </c>
      <c r="F11" s="135" t="str">
        <f>IFERROR(INDEX($C$2:$C$19,MATCH(ROWS($E$2:$E11),$E$2:$E$19,0)),"")</f>
        <v>Neel_Dustin</v>
      </c>
      <c r="G11" s="135"/>
      <c r="H11" s="37" t="s">
        <v>37</v>
      </c>
      <c r="I11" s="40" t="s">
        <v>30</v>
      </c>
      <c r="J11" s="40" t="s">
        <v>151</v>
      </c>
      <c r="K11" s="40" t="s">
        <v>154</v>
      </c>
      <c r="L11" s="46" t="s">
        <v>30</v>
      </c>
      <c r="M11" s="46" t="s">
        <v>433</v>
      </c>
      <c r="N11" s="56" t="s">
        <v>199</v>
      </c>
      <c r="O11" s="40" t="s">
        <v>31</v>
      </c>
      <c r="P11" s="40" t="s">
        <v>663</v>
      </c>
      <c r="Q11" s="40" t="s">
        <v>152</v>
      </c>
      <c r="R11" s="40" t="s">
        <v>666</v>
      </c>
      <c r="S11" s="150" t="s">
        <v>619</v>
      </c>
      <c r="T11" s="46" t="s">
        <v>231</v>
      </c>
      <c r="U11" s="149" t="s">
        <v>526</v>
      </c>
      <c r="V11" s="40" t="s">
        <v>237</v>
      </c>
      <c r="W11" s="40" t="s">
        <v>45</v>
      </c>
      <c r="X11" s="40" t="s">
        <v>153</v>
      </c>
      <c r="Y11" s="40" t="s">
        <v>249</v>
      </c>
      <c r="Z11" s="40" t="s">
        <v>43</v>
      </c>
      <c r="AA11" s="74" t="s">
        <v>496</v>
      </c>
      <c r="AB11" s="40" t="s">
        <v>152</v>
      </c>
      <c r="AC11" s="40" t="s">
        <v>153</v>
      </c>
      <c r="AD11" s="102" t="s">
        <v>525</v>
      </c>
    </row>
    <row r="12" spans="1:30">
      <c r="A12" s="128" t="s">
        <v>566</v>
      </c>
      <c r="B12" s="129"/>
      <c r="C12" s="128" t="s">
        <v>566</v>
      </c>
      <c r="D12" s="137">
        <f t="shared" si="0"/>
        <v>1</v>
      </c>
      <c r="E12" s="139">
        <f>IF(D12=1,COUNTIF($D$2:$D12,1),"")</f>
        <v>11</v>
      </c>
      <c r="F12" s="135" t="str">
        <f>IFERROR(INDEX($C$2:$C$19,MATCH(ROWS($E$2:$E12),$E$2:$E$19,0)),"")</f>
        <v>Neff_Donald</v>
      </c>
      <c r="G12" s="135"/>
      <c r="H12" s="40" t="s">
        <v>120</v>
      </c>
      <c r="I12" s="40" t="s">
        <v>31</v>
      </c>
      <c r="J12" s="40" t="s">
        <v>152</v>
      </c>
      <c r="K12" s="40" t="s">
        <v>155</v>
      </c>
      <c r="L12" s="46" t="s">
        <v>31</v>
      </c>
      <c r="M12" s="46" t="s">
        <v>435</v>
      </c>
      <c r="N12" s="56" t="s">
        <v>63</v>
      </c>
      <c r="O12" s="40" t="s">
        <v>32</v>
      </c>
      <c r="P12" s="40" t="s">
        <v>533</v>
      </c>
      <c r="Q12" s="40" t="s">
        <v>153</v>
      </c>
      <c r="R12" s="40" t="s">
        <v>574</v>
      </c>
      <c r="S12" s="150" t="s">
        <v>624</v>
      </c>
      <c r="T12" s="46" t="s">
        <v>47</v>
      </c>
      <c r="U12" s="149" t="s">
        <v>527</v>
      </c>
      <c r="V12" s="40" t="s">
        <v>32</v>
      </c>
      <c r="W12" s="40" t="s">
        <v>30</v>
      </c>
      <c r="X12" s="40" t="s">
        <v>154</v>
      </c>
      <c r="Y12" s="40" t="s">
        <v>75</v>
      </c>
      <c r="Z12" s="40" t="s">
        <v>44</v>
      </c>
      <c r="AA12" s="74" t="s">
        <v>497</v>
      </c>
      <c r="AB12" s="40" t="s">
        <v>153</v>
      </c>
      <c r="AC12" s="40" t="s">
        <v>154</v>
      </c>
      <c r="AD12" s="102" t="s">
        <v>526</v>
      </c>
    </row>
    <row r="13" spans="1:30">
      <c r="A13" s="128" t="s">
        <v>414</v>
      </c>
      <c r="B13" s="129"/>
      <c r="C13" s="128" t="s">
        <v>414</v>
      </c>
      <c r="D13" s="137">
        <f t="shared" si="0"/>
        <v>1</v>
      </c>
      <c r="E13" s="139">
        <f>IF(D13=1,COUNTIF($D$2:$D13,1),"")</f>
        <v>12</v>
      </c>
      <c r="F13" s="135" t="str">
        <f>IFERROR(INDEX($C$2:$C$19,MATCH(ROWS($E$2:$E13),$E$2:$E$19,0)),"")</f>
        <v>Rawson_Lynn</v>
      </c>
      <c r="G13" s="135"/>
      <c r="H13" s="40"/>
      <c r="I13" s="40" t="s">
        <v>32</v>
      </c>
      <c r="J13" s="40" t="s">
        <v>153</v>
      </c>
      <c r="K13" s="40" t="s">
        <v>159</v>
      </c>
      <c r="L13" s="46" t="s">
        <v>32</v>
      </c>
      <c r="M13" s="46" t="s">
        <v>434</v>
      </c>
      <c r="N13" s="56" t="s">
        <v>68</v>
      </c>
      <c r="O13" s="40" t="s">
        <v>214</v>
      </c>
      <c r="P13" s="40" t="s">
        <v>534</v>
      </c>
      <c r="Q13" s="40" t="s">
        <v>154</v>
      </c>
      <c r="R13" s="40" t="s">
        <v>545</v>
      </c>
      <c r="S13" s="150" t="s">
        <v>626</v>
      </c>
      <c r="T13" s="46" t="s">
        <v>48</v>
      </c>
      <c r="U13" s="149" t="s">
        <v>529</v>
      </c>
      <c r="V13" s="40" t="s">
        <v>214</v>
      </c>
      <c r="W13" s="40" t="s">
        <v>31</v>
      </c>
      <c r="X13" s="40" t="s">
        <v>155</v>
      </c>
      <c r="Y13" s="40" t="s">
        <v>99</v>
      </c>
      <c r="Z13" s="40" t="s">
        <v>45</v>
      </c>
      <c r="AA13" s="74" t="s">
        <v>187</v>
      </c>
      <c r="AB13" s="40" t="s">
        <v>159</v>
      </c>
      <c r="AC13" s="40" t="s">
        <v>155</v>
      </c>
      <c r="AD13" s="102" t="s">
        <v>527</v>
      </c>
    </row>
    <row r="14" spans="1:30">
      <c r="A14" s="128" t="s">
        <v>415</v>
      </c>
      <c r="B14" s="129"/>
      <c r="C14" s="128" t="s">
        <v>415</v>
      </c>
      <c r="D14" s="137">
        <f t="shared" si="0"/>
        <v>1</v>
      </c>
      <c r="E14" s="139">
        <f>IF(D14=1,COUNTIF($D$2:$D14,1),"")</f>
        <v>13</v>
      </c>
      <c r="F14" s="135" t="str">
        <f>IFERROR(INDEX($C$2:$C$19,MATCH(ROWS($E$2:$E14),$E$2:$E$19,0)),"")</f>
        <v>Shah_Anuj</v>
      </c>
      <c r="G14" s="135"/>
      <c r="H14" s="40"/>
      <c r="I14" s="40" t="s">
        <v>33</v>
      </c>
      <c r="J14" s="40" t="s">
        <v>154</v>
      </c>
      <c r="K14" s="40" t="s">
        <v>164</v>
      </c>
      <c r="L14" s="46" t="s">
        <v>47</v>
      </c>
      <c r="M14" s="46" t="s">
        <v>436</v>
      </c>
      <c r="N14" s="56" t="s">
        <v>583</v>
      </c>
      <c r="O14" s="40" t="s">
        <v>33</v>
      </c>
      <c r="P14" s="40" t="s">
        <v>536</v>
      </c>
      <c r="Q14" s="40" t="s">
        <v>158</v>
      </c>
      <c r="R14" s="40" t="s">
        <v>577</v>
      </c>
      <c r="S14" s="150" t="s">
        <v>630</v>
      </c>
      <c r="T14" s="46" t="s">
        <v>49</v>
      </c>
      <c r="U14" s="149" t="s">
        <v>530</v>
      </c>
      <c r="V14" s="40" t="s">
        <v>33</v>
      </c>
      <c r="W14" s="40" t="s">
        <v>32</v>
      </c>
      <c r="X14" s="40" t="s">
        <v>253</v>
      </c>
      <c r="Y14" s="40" t="s">
        <v>263</v>
      </c>
      <c r="Z14" s="40" t="s">
        <v>30</v>
      </c>
      <c r="AA14" s="40" t="s">
        <v>597</v>
      </c>
      <c r="AB14" s="40" t="s">
        <v>163</v>
      </c>
      <c r="AC14" s="40" t="s">
        <v>158</v>
      </c>
      <c r="AD14" s="102" t="s">
        <v>529</v>
      </c>
    </row>
    <row r="15" spans="1:30">
      <c r="A15" s="128" t="s">
        <v>416</v>
      </c>
      <c r="B15" s="129"/>
      <c r="C15" s="128" t="s">
        <v>416</v>
      </c>
      <c r="D15" s="137">
        <f t="shared" si="0"/>
        <v>1</v>
      </c>
      <c r="E15" s="139">
        <f>IF(D15=1,COUNTIF($D$2:$D15,1),"")</f>
        <v>14</v>
      </c>
      <c r="F15" s="135" t="str">
        <f>IFERROR(INDEX($C$2:$C$19,MATCH(ROWS($E$2:$E15),$E$2:$E$19,0)),"")</f>
        <v>Stewart_James</v>
      </c>
      <c r="G15" s="135"/>
      <c r="H15" s="40"/>
      <c r="I15" s="40" t="s">
        <v>47</v>
      </c>
      <c r="J15" s="40" t="s">
        <v>155</v>
      </c>
      <c r="K15" s="40" t="s">
        <v>165</v>
      </c>
      <c r="L15" s="46" t="s">
        <v>48</v>
      </c>
      <c r="M15" s="46" t="s">
        <v>437</v>
      </c>
      <c r="N15" s="56" t="s">
        <v>79</v>
      </c>
      <c r="O15" s="40" t="s">
        <v>47</v>
      </c>
      <c r="P15" s="40" t="s">
        <v>538</v>
      </c>
      <c r="Q15" s="40" t="s">
        <v>159</v>
      </c>
      <c r="R15" s="123"/>
      <c r="S15" s="149" t="s">
        <v>641</v>
      </c>
      <c r="T15" s="46" t="s">
        <v>52</v>
      </c>
      <c r="U15" s="149" t="s">
        <v>531</v>
      </c>
      <c r="V15" s="40" t="s">
        <v>48</v>
      </c>
      <c r="W15" s="40" t="s">
        <v>214</v>
      </c>
      <c r="X15" s="40" t="s">
        <v>158</v>
      </c>
      <c r="Y15" s="40" t="s">
        <v>264</v>
      </c>
      <c r="Z15" s="40" t="s">
        <v>31</v>
      </c>
      <c r="AA15" s="155"/>
      <c r="AB15" s="40" t="s">
        <v>286</v>
      </c>
      <c r="AC15" s="40" t="s">
        <v>159</v>
      </c>
      <c r="AD15" s="102" t="s">
        <v>530</v>
      </c>
    </row>
    <row r="16" spans="1:30">
      <c r="A16" s="128" t="s">
        <v>417</v>
      </c>
      <c r="B16" s="129"/>
      <c r="C16" s="128" t="s">
        <v>417</v>
      </c>
      <c r="D16" s="137">
        <f t="shared" si="0"/>
        <v>1</v>
      </c>
      <c r="E16" s="139">
        <f>IF(D16=1,COUNTIF($D$2:$D16,1),"")</f>
        <v>15</v>
      </c>
      <c r="F16" s="135" t="str">
        <f>IFERROR(INDEX($C$2:$C$19,MATCH(ROWS($E$2:$E16),$E$2:$E$19,0)),"")</f>
        <v>Talboy_Glenn</v>
      </c>
      <c r="G16" s="135"/>
      <c r="H16" s="40"/>
      <c r="I16" s="40" t="s">
        <v>48</v>
      </c>
      <c r="J16" s="40" t="s">
        <v>157</v>
      </c>
      <c r="K16" s="40" t="s">
        <v>166</v>
      </c>
      <c r="L16" s="46" t="s">
        <v>49</v>
      </c>
      <c r="M16" s="46" t="s">
        <v>438</v>
      </c>
      <c r="N16" s="56" t="s">
        <v>226</v>
      </c>
      <c r="O16" s="40" t="s">
        <v>48</v>
      </c>
      <c r="P16" s="40" t="s">
        <v>664</v>
      </c>
      <c r="Q16" s="40" t="s">
        <v>160</v>
      </c>
      <c r="R16" s="123"/>
      <c r="S16" s="151" t="s">
        <v>634</v>
      </c>
      <c r="T16" s="46" t="s">
        <v>53</v>
      </c>
      <c r="U16" s="149" t="s">
        <v>532</v>
      </c>
      <c r="V16" s="40" t="s">
        <v>49</v>
      </c>
      <c r="W16" s="40" t="s">
        <v>33</v>
      </c>
      <c r="X16" s="40" t="s">
        <v>159</v>
      </c>
      <c r="Y16" s="40" t="s">
        <v>107</v>
      </c>
      <c r="Z16" s="40" t="s">
        <v>237</v>
      </c>
      <c r="AA16" s="40"/>
      <c r="AB16" s="40" t="s">
        <v>164</v>
      </c>
      <c r="AC16" s="40" t="s">
        <v>160</v>
      </c>
      <c r="AD16" s="102" t="s">
        <v>531</v>
      </c>
    </row>
    <row r="17" spans="1:30">
      <c r="A17" s="129" t="s">
        <v>490</v>
      </c>
      <c r="B17" s="129"/>
      <c r="C17" s="129" t="s">
        <v>490</v>
      </c>
      <c r="D17" s="137">
        <f t="shared" si="0"/>
        <v>1</v>
      </c>
      <c r="E17" s="139">
        <f>IF(D17=1,COUNTIF($D$2:$D17,1),"")</f>
        <v>16</v>
      </c>
      <c r="F17" s="135" t="str">
        <f>IFERROR(INDEX($C$2:$C$19,MATCH(ROWS($E$2:$E17),$E$2:$E$19,0)),"")</f>
        <v>Theoharidis_Akilis</v>
      </c>
      <c r="G17" s="135"/>
      <c r="H17" s="40"/>
      <c r="I17" s="40" t="s">
        <v>49</v>
      </c>
      <c r="J17" s="40" t="s">
        <v>158</v>
      </c>
      <c r="K17" s="40" t="s">
        <v>71</v>
      </c>
      <c r="L17" s="46" t="s">
        <v>50</v>
      </c>
      <c r="M17" s="46" t="s">
        <v>439</v>
      </c>
      <c r="N17" s="56" t="s">
        <v>234</v>
      </c>
      <c r="O17" s="40" t="s">
        <v>49</v>
      </c>
      <c r="P17" s="40" t="s">
        <v>665</v>
      </c>
      <c r="Q17" s="40" t="s">
        <v>163</v>
      </c>
      <c r="R17" s="40"/>
      <c r="S17" s="150" t="s">
        <v>635</v>
      </c>
      <c r="T17" s="46" t="s">
        <v>57</v>
      </c>
      <c r="U17" s="149" t="s">
        <v>592</v>
      </c>
      <c r="V17" s="40" t="s">
        <v>50</v>
      </c>
      <c r="W17" s="40" t="s">
        <v>231</v>
      </c>
      <c r="X17" s="40" t="s">
        <v>161</v>
      </c>
      <c r="Y17" s="40" t="s">
        <v>265</v>
      </c>
      <c r="Z17" s="40" t="s">
        <v>32</v>
      </c>
      <c r="AA17" s="40"/>
      <c r="AB17" s="40" t="s">
        <v>165</v>
      </c>
      <c r="AC17" s="40" t="s">
        <v>163</v>
      </c>
      <c r="AD17" s="102" t="s">
        <v>532</v>
      </c>
    </row>
    <row r="18" spans="1:30">
      <c r="A18" s="128" t="s">
        <v>419</v>
      </c>
      <c r="B18" s="129"/>
      <c r="C18" s="128" t="s">
        <v>419</v>
      </c>
      <c r="D18" s="137">
        <f t="shared" si="0"/>
        <v>1</v>
      </c>
      <c r="E18" s="139">
        <f>IF(D18=1,COUNTIF($D$2:$D18,1),"")</f>
        <v>17</v>
      </c>
      <c r="F18" s="135" t="str">
        <f>IFERROR(INDEX($C$2:$C$19,MATCH(ROWS($E$2:$E18),$E$2:$E$19,0)),"")</f>
        <v>Wilson_Jonathan</v>
      </c>
      <c r="G18" s="135"/>
      <c r="H18" s="40"/>
      <c r="I18" s="40" t="s">
        <v>50</v>
      </c>
      <c r="J18" s="40" t="s">
        <v>159</v>
      </c>
      <c r="K18" s="40" t="s">
        <v>88</v>
      </c>
      <c r="L18" s="46" t="s">
        <v>51</v>
      </c>
      <c r="M18" s="46" t="s">
        <v>440</v>
      </c>
      <c r="N18" s="56" t="s">
        <v>584</v>
      </c>
      <c r="O18" s="40" t="s">
        <v>46</v>
      </c>
      <c r="P18" s="40" t="s">
        <v>590</v>
      </c>
      <c r="Q18" s="40" t="s">
        <v>164</v>
      </c>
      <c r="R18" s="123"/>
      <c r="S18" s="149" t="s">
        <v>248</v>
      </c>
      <c r="T18" s="46" t="s">
        <v>60</v>
      </c>
      <c r="U18" s="149" t="s">
        <v>533</v>
      </c>
      <c r="V18" s="40" t="s">
        <v>51</v>
      </c>
      <c r="W18" s="40" t="s">
        <v>47</v>
      </c>
      <c r="X18" s="40" t="s">
        <v>254</v>
      </c>
      <c r="Y18" s="40" t="s">
        <v>266</v>
      </c>
      <c r="Z18" s="40" t="s">
        <v>214</v>
      </c>
      <c r="AA18" s="40"/>
      <c r="AB18" s="40" t="s">
        <v>166</v>
      </c>
      <c r="AC18" s="40" t="s">
        <v>164</v>
      </c>
      <c r="AD18" s="102" t="s">
        <v>592</v>
      </c>
    </row>
    <row r="19" spans="1:30">
      <c r="A19" s="128" t="s">
        <v>567</v>
      </c>
      <c r="B19" s="129"/>
      <c r="C19" s="128" t="s">
        <v>567</v>
      </c>
      <c r="D19" s="137">
        <f t="shared" si="0"/>
        <v>1</v>
      </c>
      <c r="E19" s="139">
        <f>IF(D19=1,COUNTIF($D$2:$D19,1),"")</f>
        <v>18</v>
      </c>
      <c r="F19" s="135" t="str">
        <f>IFERROR(INDEX($C$2:$C$19,MATCH(ROWS($E$2:$E19),$E$2:$E$19,0)),"")</f>
        <v>Wyre_Hadley</v>
      </c>
      <c r="G19" s="135"/>
      <c r="H19" s="40"/>
      <c r="I19" s="40" t="s">
        <v>51</v>
      </c>
      <c r="J19" s="40" t="s">
        <v>160</v>
      </c>
      <c r="K19" s="40" t="s">
        <v>176</v>
      </c>
      <c r="L19" s="46" t="s">
        <v>46</v>
      </c>
      <c r="M19" s="46" t="s">
        <v>441</v>
      </c>
      <c r="N19" s="56" t="s">
        <v>91</v>
      </c>
      <c r="O19" s="40" t="s">
        <v>52</v>
      </c>
      <c r="P19" s="40" t="s">
        <v>546</v>
      </c>
      <c r="Q19" s="40" t="s">
        <v>165</v>
      </c>
      <c r="R19" s="123"/>
      <c r="S19" s="149" t="s">
        <v>61</v>
      </c>
      <c r="T19" s="46" t="s">
        <v>598</v>
      </c>
      <c r="U19" s="149" t="s">
        <v>534</v>
      </c>
      <c r="V19" s="40" t="s">
        <v>46</v>
      </c>
      <c r="W19" s="40" t="s">
        <v>48</v>
      </c>
      <c r="X19" s="40" t="s">
        <v>162</v>
      </c>
      <c r="Y19" s="40" t="s">
        <v>267</v>
      </c>
      <c r="Z19" s="40" t="s">
        <v>33</v>
      </c>
      <c r="AA19" s="40"/>
      <c r="AB19" s="40" t="s">
        <v>167</v>
      </c>
      <c r="AC19" s="40" t="s">
        <v>165</v>
      </c>
      <c r="AD19" s="102" t="s">
        <v>533</v>
      </c>
    </row>
    <row r="20" spans="1:30">
      <c r="A20" s="129"/>
      <c r="B20" s="129"/>
      <c r="C20" s="135"/>
      <c r="D20" s="135"/>
      <c r="E20" s="139"/>
      <c r="F20" s="135"/>
      <c r="G20" s="135"/>
      <c r="H20" s="40"/>
      <c r="I20" s="40" t="s">
        <v>46</v>
      </c>
      <c r="J20" s="40" t="s">
        <v>161</v>
      </c>
      <c r="K20" s="40" t="s">
        <v>177</v>
      </c>
      <c r="L20" s="46" t="s">
        <v>194</v>
      </c>
      <c r="M20" s="46" t="s">
        <v>442</v>
      </c>
      <c r="N20" s="56" t="s">
        <v>92</v>
      </c>
      <c r="O20" s="40" t="s">
        <v>53</v>
      </c>
      <c r="P20" s="40" t="s">
        <v>554</v>
      </c>
      <c r="Q20" s="40" t="s">
        <v>166</v>
      </c>
      <c r="R20" s="123"/>
      <c r="S20" s="149" t="s">
        <v>69</v>
      </c>
      <c r="T20" s="46" t="s">
        <v>61</v>
      </c>
      <c r="U20" s="149" t="s">
        <v>535</v>
      </c>
      <c r="V20" s="40" t="s">
        <v>224</v>
      </c>
      <c r="W20" s="40" t="s">
        <v>49</v>
      </c>
      <c r="X20" s="40" t="s">
        <v>165</v>
      </c>
      <c r="Y20" s="40" t="s">
        <v>268</v>
      </c>
      <c r="Z20" s="40" t="s">
        <v>47</v>
      </c>
      <c r="AA20" s="40"/>
      <c r="AB20" s="40" t="s">
        <v>222</v>
      </c>
      <c r="AC20" s="40" t="s">
        <v>166</v>
      </c>
      <c r="AD20" s="102" t="s">
        <v>534</v>
      </c>
    </row>
    <row r="21" spans="1:30">
      <c r="A21" s="129"/>
      <c r="B21" s="129"/>
      <c r="C21" s="40"/>
      <c r="D21" s="40"/>
      <c r="E21" s="140"/>
      <c r="F21" s="40"/>
      <c r="G21" s="40"/>
      <c r="H21" s="40"/>
      <c r="I21" s="40" t="s">
        <v>52</v>
      </c>
      <c r="J21" s="40" t="s">
        <v>162</v>
      </c>
      <c r="K21" s="40" t="s">
        <v>179</v>
      </c>
      <c r="L21" s="46" t="s">
        <v>52</v>
      </c>
      <c r="M21" s="46" t="s">
        <v>444</v>
      </c>
      <c r="N21" s="56" t="s">
        <v>93</v>
      </c>
      <c r="O21" s="40" t="s">
        <v>54</v>
      </c>
      <c r="P21" s="40" t="s">
        <v>558</v>
      </c>
      <c r="Q21" s="40" t="s">
        <v>167</v>
      </c>
      <c r="R21" s="123"/>
      <c r="S21" s="149" t="s">
        <v>70</v>
      </c>
      <c r="T21" s="46" t="s">
        <v>197</v>
      </c>
      <c r="U21" s="149" t="s">
        <v>536</v>
      </c>
      <c r="V21" s="40" t="s">
        <v>52</v>
      </c>
      <c r="W21" s="40" t="s">
        <v>52</v>
      </c>
      <c r="X21" s="40" t="s">
        <v>166</v>
      </c>
      <c r="Y21" s="40" t="s">
        <v>269</v>
      </c>
      <c r="Z21" s="63" t="s">
        <v>46</v>
      </c>
      <c r="AA21" s="40"/>
      <c r="AB21" s="40" t="s">
        <v>168</v>
      </c>
      <c r="AC21" s="40" t="s">
        <v>222</v>
      </c>
      <c r="AD21" s="102" t="s">
        <v>535</v>
      </c>
    </row>
    <row r="22" spans="1:30">
      <c r="A22" s="129"/>
      <c r="B22" s="129"/>
      <c r="C22" s="124"/>
      <c r="D22" s="40"/>
      <c r="E22" s="140"/>
      <c r="F22" s="40"/>
      <c r="G22" s="40"/>
      <c r="H22" s="40"/>
      <c r="I22" s="40" t="s">
        <v>53</v>
      </c>
      <c r="J22" s="40" t="s">
        <v>163</v>
      </c>
      <c r="K22" s="40" t="s">
        <v>184</v>
      </c>
      <c r="L22" s="46" t="s">
        <v>53</v>
      </c>
      <c r="M22" s="46" t="s">
        <v>443</v>
      </c>
      <c r="N22" s="56" t="s">
        <v>99</v>
      </c>
      <c r="O22" s="40" t="s">
        <v>55</v>
      </c>
      <c r="P22" s="149" t="s">
        <v>581</v>
      </c>
      <c r="Q22" s="40" t="s">
        <v>222</v>
      </c>
      <c r="R22" s="123"/>
      <c r="S22" s="149" t="s">
        <v>73</v>
      </c>
      <c r="T22" s="46" t="s">
        <v>68</v>
      </c>
      <c r="U22" s="149" t="s">
        <v>537</v>
      </c>
      <c r="V22" s="40" t="s">
        <v>53</v>
      </c>
      <c r="W22" s="40" t="s">
        <v>53</v>
      </c>
      <c r="X22" s="40" t="s">
        <v>167</v>
      </c>
      <c r="Y22" s="40" t="s">
        <v>270</v>
      </c>
      <c r="Z22" s="40" t="s">
        <v>48</v>
      </c>
      <c r="AA22" s="40"/>
      <c r="AB22" s="40" t="s">
        <v>169</v>
      </c>
      <c r="AC22" s="40" t="s">
        <v>173</v>
      </c>
      <c r="AD22" s="102" t="s">
        <v>536</v>
      </c>
    </row>
    <row r="23" spans="1:30">
      <c r="A23" s="129"/>
      <c r="B23" s="129"/>
      <c r="C23" s="40"/>
      <c r="D23" s="40"/>
      <c r="E23" s="140"/>
      <c r="F23" s="40"/>
      <c r="G23" s="40"/>
      <c r="H23" s="40"/>
      <c r="I23" s="40" t="s">
        <v>54</v>
      </c>
      <c r="J23" s="40" t="s">
        <v>164</v>
      </c>
      <c r="K23" s="40" t="s">
        <v>126</v>
      </c>
      <c r="L23" s="46" t="s">
        <v>54</v>
      </c>
      <c r="M23" s="46" t="s">
        <v>445</v>
      </c>
      <c r="N23" s="56" t="s">
        <v>585</v>
      </c>
      <c r="O23" s="40" t="s">
        <v>57</v>
      </c>
      <c r="P23" s="40"/>
      <c r="Q23" s="40" t="s">
        <v>168</v>
      </c>
      <c r="R23" s="123"/>
      <c r="S23" s="149" t="s">
        <v>75</v>
      </c>
      <c r="T23" s="46" t="s">
        <v>69</v>
      </c>
      <c r="U23" s="149" t="s">
        <v>538</v>
      </c>
      <c r="V23" s="40" t="s">
        <v>54</v>
      </c>
      <c r="W23" s="40" t="s">
        <v>54</v>
      </c>
      <c r="X23" s="40" t="s">
        <v>222</v>
      </c>
      <c r="Y23" s="40" t="s">
        <v>119</v>
      </c>
      <c r="Z23" s="40" t="s">
        <v>49</v>
      </c>
      <c r="AA23" s="40"/>
      <c r="AB23" s="40" t="s">
        <v>170</v>
      </c>
      <c r="AC23" s="40" t="s">
        <v>174</v>
      </c>
      <c r="AD23" s="102" t="s">
        <v>537</v>
      </c>
    </row>
    <row r="24" spans="1:30">
      <c r="A24" s="129"/>
      <c r="B24" s="129"/>
      <c r="H24" s="40"/>
      <c r="I24" s="40" t="s">
        <v>55</v>
      </c>
      <c r="J24" s="40" t="s">
        <v>165</v>
      </c>
      <c r="K24" s="40" t="s">
        <v>186</v>
      </c>
      <c r="L24" s="46" t="s">
        <v>55</v>
      </c>
      <c r="M24" s="46" t="s">
        <v>446</v>
      </c>
      <c r="N24" s="56" t="s">
        <v>105</v>
      </c>
      <c r="O24" s="40" t="s">
        <v>58</v>
      </c>
      <c r="P24" s="40"/>
      <c r="Q24" s="40" t="s">
        <v>169</v>
      </c>
      <c r="R24" s="123"/>
      <c r="S24" s="149" t="s">
        <v>76</v>
      </c>
      <c r="T24" s="46" t="s">
        <v>70</v>
      </c>
      <c r="U24" s="149" t="s">
        <v>539</v>
      </c>
      <c r="V24" s="40" t="s">
        <v>55</v>
      </c>
      <c r="W24" s="40" t="s">
        <v>55</v>
      </c>
      <c r="X24" s="40" t="s">
        <v>168</v>
      </c>
      <c r="Y24" s="40" t="s">
        <v>120</v>
      </c>
      <c r="Z24" s="40" t="s">
        <v>50</v>
      </c>
      <c r="AA24" s="40"/>
      <c r="AB24" s="40" t="s">
        <v>171</v>
      </c>
      <c r="AC24" s="40" t="s">
        <v>88</v>
      </c>
      <c r="AD24" s="102" t="s">
        <v>538</v>
      </c>
    </row>
    <row r="25" spans="1:30">
      <c r="A25" s="41"/>
      <c r="B25" s="13"/>
      <c r="H25" s="40"/>
      <c r="I25" s="40" t="s">
        <v>56</v>
      </c>
      <c r="J25" s="40" t="s">
        <v>166</v>
      </c>
      <c r="K25" s="40" t="s">
        <v>189</v>
      </c>
      <c r="L25" s="46" t="s">
        <v>57</v>
      </c>
      <c r="M25" s="145" t="s">
        <v>660</v>
      </c>
      <c r="N25" s="56" t="s">
        <v>586</v>
      </c>
      <c r="O25" s="40" t="s">
        <v>59</v>
      </c>
      <c r="P25" s="40"/>
      <c r="Q25" s="40" t="s">
        <v>172</v>
      </c>
      <c r="R25" s="123"/>
      <c r="S25" s="149" t="s">
        <v>204</v>
      </c>
      <c r="T25" s="46" t="s">
        <v>73</v>
      </c>
      <c r="U25" s="149" t="s">
        <v>669</v>
      </c>
      <c r="V25" s="40" t="s">
        <v>57</v>
      </c>
      <c r="W25" s="40" t="s">
        <v>57</v>
      </c>
      <c r="X25" s="40" t="s">
        <v>169</v>
      </c>
      <c r="Y25" s="40" t="s">
        <v>271</v>
      </c>
      <c r="Z25" s="40" t="s">
        <v>51</v>
      </c>
      <c r="AB25" s="40" t="s">
        <v>172</v>
      </c>
      <c r="AC25" s="40" t="s">
        <v>89</v>
      </c>
      <c r="AD25" s="102" t="s">
        <v>539</v>
      </c>
    </row>
    <row r="26" spans="1:30">
      <c r="A26" s="41"/>
      <c r="B26" s="13"/>
      <c r="H26" s="40"/>
      <c r="I26" s="40" t="s">
        <v>57</v>
      </c>
      <c r="J26" s="40" t="s">
        <v>167</v>
      </c>
      <c r="K26" s="40"/>
      <c r="L26" s="46" t="s">
        <v>59</v>
      </c>
      <c r="M26" s="145" t="s">
        <v>447</v>
      </c>
      <c r="N26" s="56" t="s">
        <v>106</v>
      </c>
      <c r="O26" s="40" t="s">
        <v>60</v>
      </c>
      <c r="P26" s="40"/>
      <c r="Q26" s="40" t="s">
        <v>71</v>
      </c>
      <c r="R26" s="123"/>
      <c r="S26" s="149" t="s">
        <v>77</v>
      </c>
      <c r="T26" s="46" t="s">
        <v>75</v>
      </c>
      <c r="U26" s="149" t="s">
        <v>207</v>
      </c>
      <c r="V26" s="40" t="s">
        <v>58</v>
      </c>
      <c r="W26" s="40" t="s">
        <v>58</v>
      </c>
      <c r="X26" s="40" t="s">
        <v>171</v>
      </c>
      <c r="Y26" s="40" t="s">
        <v>182</v>
      </c>
      <c r="Z26" s="40" t="s">
        <v>224</v>
      </c>
      <c r="AA26" s="40"/>
      <c r="AB26" s="40" t="s">
        <v>71</v>
      </c>
      <c r="AC26" s="40" t="s">
        <v>176</v>
      </c>
      <c r="AD26" s="102" t="s">
        <v>207</v>
      </c>
    </row>
    <row r="27" spans="1:30">
      <c r="A27" s="41"/>
      <c r="B27" s="13"/>
      <c r="H27" s="40"/>
      <c r="I27" s="40" t="s">
        <v>58</v>
      </c>
      <c r="J27" s="40" t="s">
        <v>168</v>
      </c>
      <c r="K27" s="40"/>
      <c r="L27" s="46" t="s">
        <v>60</v>
      </c>
      <c r="M27" s="145" t="s">
        <v>448</v>
      </c>
      <c r="N27" s="56" t="s">
        <v>208</v>
      </c>
      <c r="O27" s="40" t="s">
        <v>195</v>
      </c>
      <c r="P27" s="40"/>
      <c r="Q27" s="40" t="s">
        <v>173</v>
      </c>
      <c r="R27" s="123"/>
      <c r="S27" s="149" t="s">
        <v>205</v>
      </c>
      <c r="T27" s="46" t="s">
        <v>77</v>
      </c>
      <c r="U27" s="149" t="s">
        <v>543</v>
      </c>
      <c r="V27" s="40" t="s">
        <v>59</v>
      </c>
      <c r="W27" s="40" t="s">
        <v>60</v>
      </c>
      <c r="X27" s="40" t="s">
        <v>71</v>
      </c>
      <c r="Y27" s="40" t="s">
        <v>272</v>
      </c>
      <c r="Z27" s="40" t="s">
        <v>52</v>
      </c>
      <c r="AA27" s="40"/>
      <c r="AB27" s="40" t="s">
        <v>173</v>
      </c>
      <c r="AC27" s="40" t="s">
        <v>289</v>
      </c>
      <c r="AD27" s="102" t="s">
        <v>242</v>
      </c>
    </row>
    <row r="28" spans="1:30">
      <c r="A28" s="41"/>
      <c r="B28" s="13"/>
      <c r="H28" s="40"/>
      <c r="I28" s="40" t="s">
        <v>59</v>
      </c>
      <c r="J28" s="40" t="s">
        <v>169</v>
      </c>
      <c r="K28" s="40"/>
      <c r="L28" s="46" t="s">
        <v>195</v>
      </c>
      <c r="M28" s="145" t="s">
        <v>449</v>
      </c>
      <c r="N28" s="56" t="s">
        <v>268</v>
      </c>
      <c r="O28" s="40" t="s">
        <v>215</v>
      </c>
      <c r="P28" s="40"/>
      <c r="Q28" s="40" t="s">
        <v>75</v>
      </c>
      <c r="R28" s="123"/>
      <c r="S28" s="149" t="s">
        <v>78</v>
      </c>
      <c r="T28" s="46" t="s">
        <v>78</v>
      </c>
      <c r="U28" s="149" t="s">
        <v>666</v>
      </c>
      <c r="V28" s="40" t="s">
        <v>60</v>
      </c>
      <c r="W28" s="40" t="s">
        <v>624</v>
      </c>
      <c r="X28" s="40" t="s">
        <v>173</v>
      </c>
      <c r="Y28" s="40" t="s">
        <v>212</v>
      </c>
      <c r="Z28" s="40" t="s">
        <v>53</v>
      </c>
      <c r="AA28" s="40"/>
      <c r="AB28" s="40" t="s">
        <v>75</v>
      </c>
      <c r="AC28" s="40" t="s">
        <v>177</v>
      </c>
      <c r="AD28" s="63" t="s">
        <v>540</v>
      </c>
    </row>
    <row r="29" spans="1:30">
      <c r="A29" s="41"/>
      <c r="B29" s="13"/>
      <c r="H29" s="40"/>
      <c r="I29" s="40" t="s">
        <v>60</v>
      </c>
      <c r="J29" s="40" t="s">
        <v>170</v>
      </c>
      <c r="K29" s="40"/>
      <c r="L29" s="46" t="s">
        <v>196</v>
      </c>
      <c r="M29" s="145" t="s">
        <v>450</v>
      </c>
      <c r="N29" s="56" t="s">
        <v>119</v>
      </c>
      <c r="O29" s="40" t="s">
        <v>61</v>
      </c>
      <c r="P29" s="40"/>
      <c r="Q29" s="40" t="s">
        <v>174</v>
      </c>
      <c r="R29" s="123"/>
      <c r="S29" s="46" t="s">
        <v>233</v>
      </c>
      <c r="T29" s="46" t="s">
        <v>79</v>
      </c>
      <c r="U29" s="149" t="s">
        <v>574</v>
      </c>
      <c r="V29" s="40" t="s">
        <v>238</v>
      </c>
      <c r="W29" s="40" t="s">
        <v>634</v>
      </c>
      <c r="X29" s="40" t="s">
        <v>174</v>
      </c>
      <c r="Y29" s="40" t="s">
        <v>132</v>
      </c>
      <c r="Z29" s="40" t="s">
        <v>54</v>
      </c>
      <c r="AA29" s="40"/>
      <c r="AB29" s="40" t="s">
        <v>174</v>
      </c>
      <c r="AC29" s="40" t="s">
        <v>117</v>
      </c>
      <c r="AD29" s="102" t="s">
        <v>571</v>
      </c>
    </row>
    <row r="30" spans="1:30">
      <c r="A30" s="41"/>
      <c r="B30" s="13"/>
      <c r="H30" s="40"/>
      <c r="I30" s="40" t="s">
        <v>61</v>
      </c>
      <c r="J30" s="40" t="s">
        <v>171</v>
      </c>
      <c r="K30" s="40"/>
      <c r="L30" s="46" t="s">
        <v>61</v>
      </c>
      <c r="M30" s="145" t="s">
        <v>451</v>
      </c>
      <c r="N30" s="56" t="s">
        <v>120</v>
      </c>
      <c r="O30" s="40" t="s">
        <v>216</v>
      </c>
      <c r="P30" s="40"/>
      <c r="Q30" s="40" t="s">
        <v>88</v>
      </c>
      <c r="R30" s="123"/>
      <c r="S30" s="149" t="s">
        <v>225</v>
      </c>
      <c r="T30" s="46" t="s">
        <v>80</v>
      </c>
      <c r="U30" s="149" t="s">
        <v>670</v>
      </c>
      <c r="V30" s="40" t="s">
        <v>612</v>
      </c>
      <c r="W30" s="40" t="s">
        <v>635</v>
      </c>
      <c r="X30" s="40" t="s">
        <v>88</v>
      </c>
      <c r="Y30" s="40" t="s">
        <v>273</v>
      </c>
      <c r="Z30" s="40" t="s">
        <v>55</v>
      </c>
      <c r="AA30" s="40"/>
      <c r="AB30" s="40" t="s">
        <v>88</v>
      </c>
      <c r="AC30" s="40" t="s">
        <v>179</v>
      </c>
      <c r="AD30" s="102" t="s">
        <v>572</v>
      </c>
    </row>
    <row r="31" spans="1:30">
      <c r="A31" s="41"/>
      <c r="B31" s="13"/>
      <c r="H31" s="40"/>
      <c r="I31" s="40" t="s">
        <v>62</v>
      </c>
      <c r="J31" s="40" t="s">
        <v>172</v>
      </c>
      <c r="K31" s="40"/>
      <c r="L31" s="46" t="s">
        <v>197</v>
      </c>
      <c r="M31" s="145" t="s">
        <v>452</v>
      </c>
      <c r="N31" s="56" t="s">
        <v>121</v>
      </c>
      <c r="O31" s="40" t="s">
        <v>63</v>
      </c>
      <c r="P31" s="40"/>
      <c r="Q31" s="40" t="s">
        <v>89</v>
      </c>
      <c r="R31" s="123"/>
      <c r="S31" s="149" t="s">
        <v>226</v>
      </c>
      <c r="T31" s="46" t="s">
        <v>233</v>
      </c>
      <c r="U31" s="149" t="s">
        <v>673</v>
      </c>
      <c r="V31" s="40" t="s">
        <v>613</v>
      </c>
      <c r="W31" s="40" t="s">
        <v>248</v>
      </c>
      <c r="X31" s="40" t="s">
        <v>89</v>
      </c>
      <c r="Y31" s="40" t="s">
        <v>274</v>
      </c>
      <c r="Z31" s="40" t="s">
        <v>57</v>
      </c>
      <c r="AA31" s="40"/>
      <c r="AB31" s="40" t="s">
        <v>89</v>
      </c>
      <c r="AC31" s="40" t="s">
        <v>119</v>
      </c>
      <c r="AD31" s="102" t="s">
        <v>573</v>
      </c>
    </row>
    <row r="32" spans="1:30">
      <c r="A32" s="41"/>
      <c r="B32" s="13"/>
      <c r="H32" s="40"/>
      <c r="I32" s="40" t="s">
        <v>241</v>
      </c>
      <c r="J32" s="40" t="s">
        <v>71</v>
      </c>
      <c r="K32" s="40"/>
      <c r="L32" s="46" t="s">
        <v>166</v>
      </c>
      <c r="M32" s="145" t="s">
        <v>453</v>
      </c>
      <c r="N32" s="56" t="s">
        <v>128</v>
      </c>
      <c r="O32" s="40" t="s">
        <v>66</v>
      </c>
      <c r="P32" s="40"/>
      <c r="Q32" s="40" t="s">
        <v>176</v>
      </c>
      <c r="R32" s="123"/>
      <c r="S32" s="149" t="s">
        <v>85</v>
      </c>
      <c r="T32" s="46" t="s">
        <v>225</v>
      </c>
      <c r="U32" s="149" t="s">
        <v>548</v>
      </c>
      <c r="V32" s="40" t="s">
        <v>615</v>
      </c>
      <c r="W32" s="40" t="s">
        <v>598</v>
      </c>
      <c r="X32" s="40" t="s">
        <v>175</v>
      </c>
      <c r="Y32" s="40" t="s">
        <v>228</v>
      </c>
      <c r="Z32" s="40" t="s">
        <v>59</v>
      </c>
      <c r="AA32" s="40"/>
      <c r="AB32" s="40" t="s">
        <v>175</v>
      </c>
      <c r="AC32" s="40" t="s">
        <v>184</v>
      </c>
      <c r="AD32" s="102" t="s">
        <v>542</v>
      </c>
    </row>
    <row r="33" spans="1:30">
      <c r="A33" s="41"/>
      <c r="B33" s="13"/>
      <c r="H33" s="40"/>
      <c r="I33" s="40" t="s">
        <v>63</v>
      </c>
      <c r="J33" s="40" t="s">
        <v>173</v>
      </c>
      <c r="K33" s="40"/>
      <c r="L33" s="46" t="s">
        <v>62</v>
      </c>
      <c r="M33" s="145" t="s">
        <v>454</v>
      </c>
      <c r="N33" s="56" t="s">
        <v>129</v>
      </c>
      <c r="O33" s="40" t="s">
        <v>68</v>
      </c>
      <c r="P33" s="40"/>
      <c r="Q33" s="40" t="s">
        <v>177</v>
      </c>
      <c r="R33" s="123"/>
      <c r="S33" s="149" t="s">
        <v>243</v>
      </c>
      <c r="T33" s="46" t="s">
        <v>234</v>
      </c>
      <c r="U33" s="63" t="s">
        <v>577</v>
      </c>
      <c r="V33" s="40" t="s">
        <v>614</v>
      </c>
      <c r="W33" s="40" t="s">
        <v>61</v>
      </c>
      <c r="X33" s="40" t="s">
        <v>176</v>
      </c>
      <c r="Y33" s="40" t="s">
        <v>275</v>
      </c>
      <c r="Z33" s="40" t="s">
        <v>60</v>
      </c>
      <c r="AA33" s="40"/>
      <c r="AB33" s="40" t="s">
        <v>176</v>
      </c>
      <c r="AC33" s="40" t="s">
        <v>126</v>
      </c>
      <c r="AD33" s="102" t="s">
        <v>543</v>
      </c>
    </row>
    <row r="34" spans="1:30">
      <c r="A34" s="41"/>
      <c r="B34" s="13"/>
      <c r="H34" s="40"/>
      <c r="I34" s="40" t="s">
        <v>64</v>
      </c>
      <c r="J34" s="40" t="s">
        <v>75</v>
      </c>
      <c r="K34" s="40"/>
      <c r="L34" s="46" t="s">
        <v>198</v>
      </c>
      <c r="M34" s="145" t="s">
        <v>455</v>
      </c>
      <c r="N34" s="56" t="s">
        <v>138</v>
      </c>
      <c r="O34" s="40" t="s">
        <v>69</v>
      </c>
      <c r="P34" s="40"/>
      <c r="Q34" s="40" t="s">
        <v>179</v>
      </c>
      <c r="R34" s="123"/>
      <c r="S34" s="149" t="s">
        <v>87</v>
      </c>
      <c r="T34" s="46" t="s">
        <v>85</v>
      </c>
      <c r="U34" s="149" t="s">
        <v>550</v>
      </c>
      <c r="V34" s="40" t="s">
        <v>616</v>
      </c>
      <c r="W34" s="40" t="s">
        <v>216</v>
      </c>
      <c r="X34" s="40" t="s">
        <v>177</v>
      </c>
      <c r="Y34" s="40" t="s">
        <v>276</v>
      </c>
      <c r="Z34" s="40" t="s">
        <v>196</v>
      </c>
      <c r="AA34" s="40"/>
      <c r="AB34" s="40" t="s">
        <v>177</v>
      </c>
      <c r="AC34" s="40" t="s">
        <v>131</v>
      </c>
      <c r="AD34" s="102" t="s">
        <v>574</v>
      </c>
    </row>
    <row r="35" spans="1:30">
      <c r="A35" s="41"/>
      <c r="B35" s="13"/>
      <c r="H35" s="40"/>
      <c r="I35" s="40" t="s">
        <v>65</v>
      </c>
      <c r="J35" s="40" t="s">
        <v>174</v>
      </c>
      <c r="K35" s="40"/>
      <c r="L35" s="46" t="s">
        <v>199</v>
      </c>
      <c r="M35" s="145" t="s">
        <v>131</v>
      </c>
      <c r="N35" s="56" t="s">
        <v>139</v>
      </c>
      <c r="O35" s="40" t="s">
        <v>70</v>
      </c>
      <c r="P35" s="40"/>
      <c r="Q35" s="40" t="s">
        <v>221</v>
      </c>
      <c r="R35" s="123"/>
      <c r="S35" s="149" t="s">
        <v>227</v>
      </c>
      <c r="T35" s="46" t="s">
        <v>86</v>
      </c>
      <c r="U35" s="149" t="s">
        <v>554</v>
      </c>
      <c r="V35" s="40" t="s">
        <v>617</v>
      </c>
      <c r="W35" s="40" t="s">
        <v>241</v>
      </c>
      <c r="X35" s="40" t="s">
        <v>179</v>
      </c>
      <c r="Y35" s="40" t="s">
        <v>134</v>
      </c>
      <c r="Z35" s="40" t="s">
        <v>239</v>
      </c>
      <c r="AA35" s="40"/>
      <c r="AB35" s="40" t="s">
        <v>178</v>
      </c>
      <c r="AC35" s="40" t="s">
        <v>187</v>
      </c>
      <c r="AD35" s="102" t="s">
        <v>545</v>
      </c>
    </row>
    <row r="36" spans="1:30">
      <c r="A36" s="41"/>
      <c r="B36" s="13"/>
      <c r="H36" s="40"/>
      <c r="I36" s="40" t="s">
        <v>66</v>
      </c>
      <c r="J36" s="40" t="s">
        <v>88</v>
      </c>
      <c r="K36" s="40"/>
      <c r="L36" s="46" t="s">
        <v>63</v>
      </c>
      <c r="M36" s="145" t="s">
        <v>456</v>
      </c>
      <c r="N36" s="56" t="s">
        <v>140</v>
      </c>
      <c r="O36" s="40" t="s">
        <v>71</v>
      </c>
      <c r="P36" s="40"/>
      <c r="Q36" s="40" t="s">
        <v>182</v>
      </c>
      <c r="R36" s="123"/>
      <c r="S36" s="149" t="s">
        <v>88</v>
      </c>
      <c r="T36" s="46" t="s">
        <v>87</v>
      </c>
      <c r="U36" s="149" t="s">
        <v>671</v>
      </c>
      <c r="V36" s="40" t="s">
        <v>618</v>
      </c>
      <c r="W36" s="40" t="s">
        <v>68</v>
      </c>
      <c r="X36" s="40" t="s">
        <v>255</v>
      </c>
      <c r="Y36" s="40" t="s">
        <v>277</v>
      </c>
      <c r="Z36" s="40" t="s">
        <v>163</v>
      </c>
      <c r="AA36" s="40"/>
      <c r="AB36" s="40" t="s">
        <v>179</v>
      </c>
      <c r="AC36" s="40" t="s">
        <v>189</v>
      </c>
      <c r="AD36" s="102" t="s">
        <v>546</v>
      </c>
    </row>
    <row r="37" spans="1:30">
      <c r="A37" s="41"/>
      <c r="B37" s="13"/>
      <c r="H37" s="40"/>
      <c r="I37" s="40" t="s">
        <v>67</v>
      </c>
      <c r="J37" s="40" t="s">
        <v>89</v>
      </c>
      <c r="K37" s="40"/>
      <c r="L37" s="46" t="s">
        <v>66</v>
      </c>
      <c r="M37" s="145" t="s">
        <v>457</v>
      </c>
      <c r="N37" s="152" t="s">
        <v>612</v>
      </c>
      <c r="O37" s="40" t="s">
        <v>73</v>
      </c>
      <c r="P37" s="40"/>
      <c r="Q37" s="40" t="s">
        <v>183</v>
      </c>
      <c r="R37" s="123"/>
      <c r="S37" s="149" t="s">
        <v>91</v>
      </c>
      <c r="T37" s="46" t="s">
        <v>88</v>
      </c>
      <c r="U37" s="149" t="s">
        <v>557</v>
      </c>
      <c r="V37" s="40" t="s">
        <v>619</v>
      </c>
      <c r="W37" s="40" t="s">
        <v>69</v>
      </c>
      <c r="X37" s="40" t="s">
        <v>181</v>
      </c>
      <c r="Y37" s="40"/>
      <c r="Z37" s="40" t="s">
        <v>240</v>
      </c>
      <c r="AA37" s="40"/>
      <c r="AB37" s="40" t="s">
        <v>119</v>
      </c>
      <c r="AC37" s="40" t="s">
        <v>190</v>
      </c>
      <c r="AD37" s="102" t="s">
        <v>575</v>
      </c>
    </row>
    <row r="38" spans="1:30">
      <c r="A38" s="41"/>
      <c r="B38" s="13"/>
      <c r="H38" s="40"/>
      <c r="I38" s="40" t="s">
        <v>68</v>
      </c>
      <c r="J38" s="40" t="s">
        <v>175</v>
      </c>
      <c r="K38" s="40"/>
      <c r="L38" s="46" t="s">
        <v>68</v>
      </c>
      <c r="M38" s="145" t="s">
        <v>235</v>
      </c>
      <c r="N38" s="152" t="s">
        <v>613</v>
      </c>
      <c r="O38" s="40" t="s">
        <v>75</v>
      </c>
      <c r="P38" s="40"/>
      <c r="Q38" s="40" t="s">
        <v>184</v>
      </c>
      <c r="R38" s="123"/>
      <c r="S38" s="149" t="s">
        <v>93</v>
      </c>
      <c r="T38" s="46" t="s">
        <v>89</v>
      </c>
      <c r="U38" s="149" t="s">
        <v>558</v>
      </c>
      <c r="V38" s="40" t="s">
        <v>622</v>
      </c>
      <c r="W38" s="40" t="s">
        <v>70</v>
      </c>
      <c r="X38" s="40" t="s">
        <v>184</v>
      </c>
      <c r="Y38" s="40"/>
      <c r="Z38" s="40" t="s">
        <v>198</v>
      </c>
      <c r="AA38" s="40"/>
      <c r="AB38" s="40" t="s">
        <v>180</v>
      </c>
      <c r="AC38" s="40"/>
      <c r="AD38" s="102" t="s">
        <v>576</v>
      </c>
    </row>
    <row r="39" spans="1:30">
      <c r="A39" s="41"/>
      <c r="B39" s="13"/>
      <c r="H39" s="40"/>
      <c r="I39" s="40" t="s">
        <v>69</v>
      </c>
      <c r="J39" s="40" t="s">
        <v>176</v>
      </c>
      <c r="K39" s="40"/>
      <c r="L39" s="46" t="s">
        <v>69</v>
      </c>
      <c r="M39" s="145" t="s">
        <v>458</v>
      </c>
      <c r="N39" s="152" t="s">
        <v>614</v>
      </c>
      <c r="O39" s="40" t="s">
        <v>203</v>
      </c>
      <c r="P39" s="40"/>
      <c r="Q39" s="40" t="s">
        <v>126</v>
      </c>
      <c r="R39" s="123"/>
      <c r="S39" s="149" t="s">
        <v>95</v>
      </c>
      <c r="T39" s="46" t="s">
        <v>92</v>
      </c>
      <c r="U39" s="149" t="s">
        <v>569</v>
      </c>
      <c r="V39" s="40" t="s">
        <v>623</v>
      </c>
      <c r="W39" s="40" t="s">
        <v>73</v>
      </c>
      <c r="X39" s="40" t="s">
        <v>126</v>
      </c>
      <c r="Y39" s="40"/>
      <c r="Z39" s="40" t="s">
        <v>63</v>
      </c>
      <c r="AA39" s="40"/>
      <c r="AB39" s="40" t="s">
        <v>181</v>
      </c>
      <c r="AC39" s="40"/>
      <c r="AD39" s="102" t="s">
        <v>577</v>
      </c>
    </row>
    <row r="40" spans="1:30">
      <c r="A40" s="41"/>
      <c r="B40" s="13"/>
      <c r="H40" s="40"/>
      <c r="I40" s="40" t="s">
        <v>70</v>
      </c>
      <c r="J40" s="40" t="s">
        <v>177</v>
      </c>
      <c r="K40" s="40"/>
      <c r="L40" s="46" t="s">
        <v>70</v>
      </c>
      <c r="M40" s="145" t="s">
        <v>459</v>
      </c>
      <c r="N40" s="152" t="s">
        <v>615</v>
      </c>
      <c r="O40" s="40" t="s">
        <v>76</v>
      </c>
      <c r="P40" s="40"/>
      <c r="Q40" s="40" t="s">
        <v>131</v>
      </c>
      <c r="R40" s="123"/>
      <c r="S40" s="149" t="s">
        <v>667</v>
      </c>
      <c r="T40" s="46" t="s">
        <v>93</v>
      </c>
      <c r="U40" s="149" t="s">
        <v>672</v>
      </c>
      <c r="V40" s="40" t="s">
        <v>624</v>
      </c>
      <c r="W40" s="40" t="s">
        <v>249</v>
      </c>
      <c r="X40" s="40" t="s">
        <v>185</v>
      </c>
      <c r="Y40" s="40"/>
      <c r="Z40" s="40" t="s">
        <v>69</v>
      </c>
      <c r="AA40" s="40"/>
      <c r="AB40" s="40" t="s">
        <v>182</v>
      </c>
      <c r="AC40" s="40"/>
      <c r="AD40" s="102" t="s">
        <v>550</v>
      </c>
    </row>
    <row r="41" spans="1:30">
      <c r="A41" s="41"/>
      <c r="B41" s="13"/>
      <c r="H41" s="40"/>
      <c r="I41" s="40" t="s">
        <v>71</v>
      </c>
      <c r="J41" s="40" t="s">
        <v>178</v>
      </c>
      <c r="K41" s="40"/>
      <c r="L41" s="46" t="s">
        <v>71</v>
      </c>
      <c r="M41" s="145" t="s">
        <v>460</v>
      </c>
      <c r="N41" s="152" t="s">
        <v>616</v>
      </c>
      <c r="O41" s="40" t="s">
        <v>77</v>
      </c>
      <c r="P41" s="40"/>
      <c r="Q41" s="40" t="s">
        <v>186</v>
      </c>
      <c r="R41" s="123"/>
      <c r="S41" s="46" t="s">
        <v>100</v>
      </c>
      <c r="T41" s="46" t="s">
        <v>95</v>
      </c>
      <c r="U41" s="149" t="s">
        <v>563</v>
      </c>
      <c r="V41" s="40" t="s">
        <v>625</v>
      </c>
      <c r="W41" s="40" t="s">
        <v>74</v>
      </c>
      <c r="X41" s="40" t="s">
        <v>131</v>
      </c>
      <c r="Y41" s="40"/>
      <c r="Z41" s="40" t="s">
        <v>73</v>
      </c>
      <c r="AA41" s="40"/>
      <c r="AB41" s="40" t="s">
        <v>183</v>
      </c>
      <c r="AC41" s="40"/>
      <c r="AD41" s="102" t="s">
        <v>551</v>
      </c>
    </row>
    <row r="42" spans="1:30">
      <c r="A42" s="41"/>
      <c r="B42" s="13"/>
      <c r="H42" s="40"/>
      <c r="I42" s="40" t="s">
        <v>72</v>
      </c>
      <c r="J42" s="40" t="s">
        <v>179</v>
      </c>
      <c r="K42" s="40"/>
      <c r="L42" s="46" t="s">
        <v>72</v>
      </c>
      <c r="M42" s="145" t="s">
        <v>461</v>
      </c>
      <c r="N42" s="152" t="s">
        <v>617</v>
      </c>
      <c r="O42" s="40" t="s">
        <v>207</v>
      </c>
      <c r="P42" s="40"/>
      <c r="Q42" s="40" t="s">
        <v>187</v>
      </c>
      <c r="R42" s="123"/>
      <c r="S42" s="149" t="s">
        <v>103</v>
      </c>
      <c r="T42" s="46" t="s">
        <v>96</v>
      </c>
      <c r="U42" s="55"/>
      <c r="V42" s="40" t="s">
        <v>626</v>
      </c>
      <c r="W42" s="40" t="s">
        <v>75</v>
      </c>
      <c r="X42" s="40" t="s">
        <v>186</v>
      </c>
      <c r="Y42" s="40"/>
      <c r="Z42" s="40" t="s">
        <v>75</v>
      </c>
      <c r="AA42" s="40"/>
      <c r="AB42" s="40" t="s">
        <v>184</v>
      </c>
      <c r="AC42" s="40"/>
      <c r="AD42" s="102" t="s">
        <v>552</v>
      </c>
    </row>
    <row r="43" spans="1:30">
      <c r="A43" s="41"/>
      <c r="B43" s="13"/>
      <c r="H43" s="40"/>
      <c r="I43" s="40" t="s">
        <v>73</v>
      </c>
      <c r="J43" s="40" t="s">
        <v>119</v>
      </c>
      <c r="K43" s="40"/>
      <c r="L43" s="46" t="s">
        <v>200</v>
      </c>
      <c r="M43" s="145" t="s">
        <v>462</v>
      </c>
      <c r="N43" s="152" t="s">
        <v>618</v>
      </c>
      <c r="O43" s="40" t="s">
        <v>78</v>
      </c>
      <c r="P43" s="40"/>
      <c r="Q43" s="40" t="s">
        <v>189</v>
      </c>
      <c r="R43" s="123"/>
      <c r="S43" s="149" t="s">
        <v>104</v>
      </c>
      <c r="T43" s="46" t="s">
        <v>98</v>
      </c>
      <c r="U43" s="55"/>
      <c r="V43" s="40" t="s">
        <v>627</v>
      </c>
      <c r="W43" s="40" t="s">
        <v>76</v>
      </c>
      <c r="X43" s="40" t="s">
        <v>187</v>
      </c>
      <c r="Y43" s="40"/>
      <c r="Z43" s="40" t="s">
        <v>203</v>
      </c>
      <c r="AA43" s="40"/>
      <c r="AB43" s="40" t="s">
        <v>126</v>
      </c>
      <c r="AC43" s="40"/>
      <c r="AD43" s="102" t="s">
        <v>578</v>
      </c>
    </row>
    <row r="44" spans="1:30">
      <c r="A44" s="41"/>
      <c r="B44" s="13"/>
      <c r="H44" s="40"/>
      <c r="I44" s="40" t="s">
        <v>74</v>
      </c>
      <c r="J44" s="40" t="s">
        <v>180</v>
      </c>
      <c r="K44" s="40"/>
      <c r="L44" s="46" t="s">
        <v>73</v>
      </c>
      <c r="M44" s="145" t="s">
        <v>463</v>
      </c>
      <c r="N44" s="152" t="s">
        <v>619</v>
      </c>
      <c r="O44" s="40" t="s">
        <v>80</v>
      </c>
      <c r="P44" s="40"/>
      <c r="Q44" s="40" t="s">
        <v>190</v>
      </c>
      <c r="R44" s="123"/>
      <c r="S44" s="149" t="s">
        <v>106</v>
      </c>
      <c r="T44" s="46" t="s">
        <v>99</v>
      </c>
      <c r="U44" s="153" t="s">
        <v>636</v>
      </c>
      <c r="V44" s="40" t="s">
        <v>629</v>
      </c>
      <c r="W44" s="40" t="s">
        <v>78</v>
      </c>
      <c r="X44" s="40" t="s">
        <v>189</v>
      </c>
      <c r="Y44" s="40"/>
      <c r="Z44" s="40" t="s">
        <v>76</v>
      </c>
      <c r="AA44" s="40"/>
      <c r="AB44" s="40" t="s">
        <v>185</v>
      </c>
      <c r="AC44" s="40"/>
      <c r="AD44" s="102" t="s">
        <v>579</v>
      </c>
    </row>
    <row r="45" spans="1:30">
      <c r="A45" s="41"/>
      <c r="B45" s="13"/>
      <c r="H45" s="40"/>
      <c r="I45" s="40" t="s">
        <v>75</v>
      </c>
      <c r="J45" s="40" t="s">
        <v>181</v>
      </c>
      <c r="K45" s="40"/>
      <c r="L45" s="46" t="s">
        <v>201</v>
      </c>
      <c r="M45" s="145" t="s">
        <v>661</v>
      </c>
      <c r="N45" s="152" t="s">
        <v>622</v>
      </c>
      <c r="O45" s="40" t="s">
        <v>85</v>
      </c>
      <c r="P45" s="40"/>
      <c r="Q45" s="40"/>
      <c r="R45" s="123"/>
      <c r="S45" s="149" t="s">
        <v>108</v>
      </c>
      <c r="T45" s="46" t="s">
        <v>100</v>
      </c>
      <c r="U45" s="153" t="s">
        <v>637</v>
      </c>
      <c r="V45" s="40" t="s">
        <v>630</v>
      </c>
      <c r="W45" s="40" t="s">
        <v>79</v>
      </c>
      <c r="X45" s="40" t="s">
        <v>190</v>
      </c>
      <c r="Y45" s="40"/>
      <c r="Z45" s="40" t="s">
        <v>77</v>
      </c>
      <c r="AA45" s="40"/>
      <c r="AB45" s="40" t="s">
        <v>131</v>
      </c>
      <c r="AC45" s="40"/>
      <c r="AD45" s="102" t="s">
        <v>580</v>
      </c>
    </row>
    <row r="46" spans="1:30">
      <c r="A46" s="41"/>
      <c r="B46" s="13"/>
      <c r="H46" s="40"/>
      <c r="I46" s="40" t="s">
        <v>76</v>
      </c>
      <c r="J46" s="40" t="s">
        <v>182</v>
      </c>
      <c r="K46" s="40"/>
      <c r="L46" s="46" t="s">
        <v>202</v>
      </c>
      <c r="M46" s="145" t="s">
        <v>464</v>
      </c>
      <c r="N46" s="152" t="s">
        <v>623</v>
      </c>
      <c r="O46" s="40" t="s">
        <v>87</v>
      </c>
      <c r="P46" s="40"/>
      <c r="Q46" s="40"/>
      <c r="R46" s="40"/>
      <c r="S46" s="46" t="s">
        <v>109</v>
      </c>
      <c r="T46" s="46" t="s">
        <v>103</v>
      </c>
      <c r="U46" s="153" t="s">
        <v>638</v>
      </c>
      <c r="V46" s="40" t="s">
        <v>632</v>
      </c>
      <c r="W46" s="40" t="s">
        <v>80</v>
      </c>
      <c r="X46" s="40"/>
      <c r="Y46" s="40"/>
      <c r="Z46" s="40" t="s">
        <v>80</v>
      </c>
      <c r="AA46" s="40"/>
      <c r="AB46" s="40" t="s">
        <v>186</v>
      </c>
      <c r="AC46" s="40"/>
      <c r="AD46" s="102" t="s">
        <v>554</v>
      </c>
    </row>
    <row r="47" spans="1:30">
      <c r="A47" s="41"/>
      <c r="B47" s="13"/>
      <c r="H47" s="40"/>
      <c r="I47" s="40" t="s">
        <v>77</v>
      </c>
      <c r="J47" s="40" t="s">
        <v>183</v>
      </c>
      <c r="K47" s="40"/>
      <c r="L47" s="46" t="s">
        <v>75</v>
      </c>
      <c r="M47" s="46" t="s">
        <v>465</v>
      </c>
      <c r="N47" s="152" t="s">
        <v>624</v>
      </c>
      <c r="O47" s="33" t="s">
        <v>243</v>
      </c>
      <c r="P47" s="40"/>
      <c r="Q47" s="40"/>
      <c r="R47" s="40"/>
      <c r="S47" s="149" t="s">
        <v>113</v>
      </c>
      <c r="T47" s="46" t="s">
        <v>104</v>
      </c>
      <c r="U47" s="55"/>
      <c r="V47" s="40" t="s">
        <v>633</v>
      </c>
      <c r="W47" s="40" t="s">
        <v>225</v>
      </c>
      <c r="X47" s="40"/>
      <c r="Y47" s="40"/>
      <c r="Z47" s="40" t="s">
        <v>242</v>
      </c>
      <c r="AA47" s="40"/>
      <c r="AB47" s="40" t="s">
        <v>187</v>
      </c>
      <c r="AC47" s="40"/>
      <c r="AD47" s="102" t="s">
        <v>558</v>
      </c>
    </row>
    <row r="48" spans="1:30">
      <c r="A48" s="41"/>
      <c r="B48" s="13"/>
      <c r="H48" s="40"/>
      <c r="I48" s="40" t="s">
        <v>78</v>
      </c>
      <c r="J48" s="40" t="s">
        <v>184</v>
      </c>
      <c r="K48" s="40"/>
      <c r="L48" s="46" t="s">
        <v>203</v>
      </c>
      <c r="M48" s="55"/>
      <c r="N48" s="152" t="s">
        <v>625</v>
      </c>
      <c r="O48" s="33" t="s">
        <v>227</v>
      </c>
      <c r="P48" s="40"/>
      <c r="Q48" s="40"/>
      <c r="R48" s="40"/>
      <c r="S48" s="149" t="s">
        <v>208</v>
      </c>
      <c r="T48" s="46" t="s">
        <v>106</v>
      </c>
      <c r="U48" s="55"/>
      <c r="V48" s="40" t="s">
        <v>634</v>
      </c>
      <c r="W48" s="40" t="s">
        <v>226</v>
      </c>
      <c r="X48" s="40"/>
      <c r="Y48" s="40"/>
      <c r="Z48" s="40" t="s">
        <v>82</v>
      </c>
      <c r="AA48" s="40"/>
      <c r="AB48" s="40" t="s">
        <v>188</v>
      </c>
      <c r="AC48" s="40"/>
      <c r="AD48" s="102" t="s">
        <v>559</v>
      </c>
    </row>
    <row r="49" spans="1:30">
      <c r="A49" s="41"/>
      <c r="B49" s="13"/>
      <c r="H49" s="40"/>
      <c r="I49" s="40" t="s">
        <v>79</v>
      </c>
      <c r="J49" s="40" t="s">
        <v>126</v>
      </c>
      <c r="K49" s="40"/>
      <c r="L49" s="46" t="s">
        <v>76</v>
      </c>
      <c r="M49" s="55"/>
      <c r="N49" s="152" t="s">
        <v>626</v>
      </c>
      <c r="O49" s="149" t="s">
        <v>225</v>
      </c>
      <c r="P49" s="40"/>
      <c r="Q49" s="40"/>
      <c r="R49" s="40"/>
      <c r="S49" s="149" t="s">
        <v>118</v>
      </c>
      <c r="T49" s="46" t="s">
        <v>108</v>
      </c>
      <c r="U49" s="55"/>
      <c r="V49" s="40" t="s">
        <v>635</v>
      </c>
      <c r="W49" s="40" t="s">
        <v>234</v>
      </c>
      <c r="X49" s="40"/>
      <c r="Y49" s="40"/>
      <c r="Z49" s="40" t="s">
        <v>225</v>
      </c>
      <c r="AA49" s="40"/>
      <c r="AB49" s="40" t="s">
        <v>189</v>
      </c>
      <c r="AC49" s="40"/>
      <c r="AD49" s="102" t="s">
        <v>581</v>
      </c>
    </row>
    <row r="50" spans="1:30">
      <c r="A50" s="41"/>
      <c r="B50" s="13"/>
      <c r="H50" s="40"/>
      <c r="I50" s="40" t="s">
        <v>80</v>
      </c>
      <c r="J50" s="40" t="s">
        <v>185</v>
      </c>
      <c r="K50" s="40"/>
      <c r="L50" s="46" t="s">
        <v>204</v>
      </c>
      <c r="M50" s="55"/>
      <c r="N50" s="152" t="s">
        <v>627</v>
      </c>
      <c r="O50" s="149" t="s">
        <v>226</v>
      </c>
      <c r="P50" s="40"/>
      <c r="Q50" s="40"/>
      <c r="R50" s="123"/>
      <c r="S50" s="149" t="s">
        <v>119</v>
      </c>
      <c r="T50" s="46" t="s">
        <v>109</v>
      </c>
      <c r="U50" s="55"/>
      <c r="V50" s="40" t="s">
        <v>196</v>
      </c>
      <c r="W50" s="40" t="s">
        <v>85</v>
      </c>
      <c r="X50" s="40"/>
      <c r="Y50" s="40"/>
      <c r="Z50" s="40" t="s">
        <v>234</v>
      </c>
      <c r="AA50" s="40"/>
      <c r="AB50" s="40" t="s">
        <v>190</v>
      </c>
      <c r="AC50" s="40"/>
      <c r="AD50" s="102" t="s">
        <v>563</v>
      </c>
    </row>
    <row r="51" spans="1:30">
      <c r="A51" s="41"/>
      <c r="B51" s="13"/>
      <c r="H51" s="40"/>
      <c r="I51" s="40" t="s">
        <v>81</v>
      </c>
      <c r="J51" s="40" t="s">
        <v>131</v>
      </c>
      <c r="K51" s="40"/>
      <c r="L51" s="46" t="s">
        <v>77</v>
      </c>
      <c r="M51" s="55"/>
      <c r="N51" s="152" t="s">
        <v>629</v>
      </c>
      <c r="O51" s="149" t="s">
        <v>234</v>
      </c>
      <c r="P51" s="40"/>
      <c r="Q51" s="40"/>
      <c r="R51" s="123"/>
      <c r="S51" s="149" t="s">
        <v>120</v>
      </c>
      <c r="T51" s="46" t="s">
        <v>113</v>
      </c>
      <c r="U51" s="55"/>
      <c r="V51" s="40" t="s">
        <v>239</v>
      </c>
      <c r="W51" s="40" t="s">
        <v>87</v>
      </c>
      <c r="X51" s="40"/>
      <c r="Y51" s="40"/>
      <c r="Z51" s="40" t="s">
        <v>85</v>
      </c>
      <c r="AA51" s="40"/>
      <c r="AB51" s="40"/>
      <c r="AC51" s="40"/>
      <c r="AD51" s="102" t="s">
        <v>564</v>
      </c>
    </row>
    <row r="52" spans="1:30">
      <c r="A52" s="41"/>
      <c r="B52" s="13"/>
      <c r="H52" s="40"/>
      <c r="I52" s="40" t="s">
        <v>82</v>
      </c>
      <c r="J52" s="40" t="s">
        <v>186</v>
      </c>
      <c r="K52" s="40"/>
      <c r="L52" s="46" t="s">
        <v>205</v>
      </c>
      <c r="M52" s="55"/>
      <c r="N52" s="152" t="s">
        <v>630</v>
      </c>
      <c r="O52" s="149" t="s">
        <v>88</v>
      </c>
      <c r="P52" s="40"/>
      <c r="Q52" s="40"/>
      <c r="R52" s="123"/>
      <c r="S52" s="46" t="s">
        <v>121</v>
      </c>
      <c r="T52" s="46" t="s">
        <v>208</v>
      </c>
      <c r="U52" s="55"/>
      <c r="V52" s="40" t="s">
        <v>61</v>
      </c>
      <c r="W52" s="40" t="s">
        <v>243</v>
      </c>
      <c r="X52" s="40"/>
      <c r="Y52" s="40"/>
      <c r="Z52" s="40" t="s">
        <v>87</v>
      </c>
      <c r="AA52" s="40"/>
      <c r="AB52" s="40"/>
      <c r="AC52" s="40"/>
      <c r="AD52" s="102" t="s">
        <v>565</v>
      </c>
    </row>
    <row r="53" spans="1:30">
      <c r="A53" s="41"/>
      <c r="B53" s="13"/>
      <c r="H53" s="40"/>
      <c r="I53" s="40" t="s">
        <v>85</v>
      </c>
      <c r="J53" s="40" t="s">
        <v>187</v>
      </c>
      <c r="K53" s="40"/>
      <c r="L53" s="46" t="s">
        <v>206</v>
      </c>
      <c r="M53" s="55"/>
      <c r="N53" s="152" t="s">
        <v>632</v>
      </c>
      <c r="O53" s="149" t="s">
        <v>90</v>
      </c>
      <c r="P53" s="40"/>
      <c r="Q53" s="40"/>
      <c r="R53" s="123"/>
      <c r="S53" s="149" t="s">
        <v>123</v>
      </c>
      <c r="T53" s="46" t="s">
        <v>115</v>
      </c>
      <c r="U53" s="55"/>
      <c r="V53" s="40" t="s">
        <v>163</v>
      </c>
      <c r="W53" s="40" t="s">
        <v>227</v>
      </c>
      <c r="X53" s="40"/>
      <c r="Y53" s="40"/>
      <c r="Z53" s="40" t="s">
        <v>90</v>
      </c>
      <c r="AA53" s="40"/>
      <c r="AB53" s="40"/>
      <c r="AC53" s="40"/>
      <c r="AD53" s="102" t="s">
        <v>597</v>
      </c>
    </row>
    <row r="54" spans="1:30">
      <c r="A54" s="41"/>
      <c r="B54" s="13"/>
      <c r="H54" s="40"/>
      <c r="I54" s="40" t="s">
        <v>86</v>
      </c>
      <c r="J54" s="40" t="s">
        <v>188</v>
      </c>
      <c r="K54" s="40"/>
      <c r="L54" s="46" t="s">
        <v>207</v>
      </c>
      <c r="M54" s="55"/>
      <c r="N54" s="152" t="s">
        <v>633</v>
      </c>
      <c r="O54" s="149" t="s">
        <v>91</v>
      </c>
      <c r="P54" s="40"/>
      <c r="Q54" s="40"/>
      <c r="R54" s="123"/>
      <c r="S54" s="149" t="s">
        <v>182</v>
      </c>
      <c r="T54" s="46" t="s">
        <v>118</v>
      </c>
      <c r="U54" s="55"/>
      <c r="V54" s="40" t="s">
        <v>240</v>
      </c>
      <c r="W54" s="40" t="s">
        <v>88</v>
      </c>
      <c r="X54" s="40"/>
      <c r="Y54" s="40"/>
      <c r="Z54" s="40" t="s">
        <v>91</v>
      </c>
      <c r="AA54" s="40"/>
      <c r="AB54" s="40"/>
      <c r="AC54" s="40"/>
      <c r="AD54" s="105"/>
    </row>
    <row r="55" spans="1:30">
      <c r="A55" s="41"/>
      <c r="B55" s="13"/>
      <c r="H55" s="40"/>
      <c r="I55" s="40" t="s">
        <v>87</v>
      </c>
      <c r="J55" s="40" t="s">
        <v>189</v>
      </c>
      <c r="K55" s="40"/>
      <c r="L55" s="46" t="s">
        <v>78</v>
      </c>
      <c r="M55" s="55"/>
      <c r="N55" s="152" t="s">
        <v>634</v>
      </c>
      <c r="O55" s="149" t="s">
        <v>92</v>
      </c>
      <c r="P55" s="40"/>
      <c r="Q55" s="40"/>
      <c r="R55" s="123"/>
      <c r="S55" s="149" t="s">
        <v>128</v>
      </c>
      <c r="T55" s="46" t="s">
        <v>119</v>
      </c>
      <c r="U55" s="55"/>
      <c r="V55" s="40" t="s">
        <v>198</v>
      </c>
      <c r="W55" s="40" t="s">
        <v>89</v>
      </c>
      <c r="X55" s="40"/>
      <c r="Y55" s="40"/>
      <c r="Z55" s="40" t="s">
        <v>92</v>
      </c>
      <c r="AA55" s="40"/>
      <c r="AB55" s="40"/>
      <c r="AC55" s="40"/>
      <c r="AD55" s="103"/>
    </row>
    <row r="56" spans="1:30">
      <c r="A56" s="41"/>
      <c r="B56" s="13"/>
      <c r="H56" s="40"/>
      <c r="I56" s="40" t="s">
        <v>225</v>
      </c>
      <c r="J56" s="40" t="s">
        <v>190</v>
      </c>
      <c r="K56" s="40"/>
      <c r="L56" s="46" t="s">
        <v>79</v>
      </c>
      <c r="M56" s="55"/>
      <c r="N56" s="152" t="s">
        <v>635</v>
      </c>
      <c r="O56" s="149" t="s">
        <v>93</v>
      </c>
      <c r="P56" s="40"/>
      <c r="Q56" s="40"/>
      <c r="R56" s="40"/>
      <c r="S56" s="149" t="s">
        <v>129</v>
      </c>
      <c r="T56" s="46" t="s">
        <v>120</v>
      </c>
      <c r="U56" s="55"/>
      <c r="V56" s="40" t="s">
        <v>241</v>
      </c>
      <c r="W56" s="40" t="s">
        <v>92</v>
      </c>
      <c r="X56" s="40"/>
      <c r="Y56" s="40"/>
      <c r="Z56" s="40" t="s">
        <v>93</v>
      </c>
      <c r="AA56" s="40"/>
      <c r="AB56" s="40"/>
      <c r="AC56" s="40"/>
    </row>
    <row r="57" spans="1:30">
      <c r="A57" s="41"/>
      <c r="B57" s="13"/>
      <c r="H57" s="40"/>
      <c r="I57" s="40" t="s">
        <v>234</v>
      </c>
      <c r="J57" s="40" t="s">
        <v>190</v>
      </c>
      <c r="K57" s="40"/>
      <c r="L57" s="46" t="s">
        <v>80</v>
      </c>
      <c r="M57" s="55"/>
      <c r="O57" s="149" t="s">
        <v>94</v>
      </c>
      <c r="P57" s="40"/>
      <c r="Q57" s="40"/>
      <c r="R57" s="123"/>
      <c r="S57" s="149" t="s">
        <v>273</v>
      </c>
      <c r="T57" s="46" t="s">
        <v>210</v>
      </c>
      <c r="U57" s="55"/>
      <c r="V57" s="40" t="s">
        <v>199</v>
      </c>
      <c r="W57" s="40" t="s">
        <v>93</v>
      </c>
      <c r="X57" s="40"/>
      <c r="Y57" s="40"/>
      <c r="Z57" s="40" t="s">
        <v>281</v>
      </c>
      <c r="AA57" s="40"/>
      <c r="AB57" s="40"/>
      <c r="AC57" s="40"/>
    </row>
    <row r="58" spans="1:30">
      <c r="A58" s="41"/>
      <c r="B58" s="13"/>
      <c r="H58" s="40"/>
      <c r="I58" s="40" t="s">
        <v>88</v>
      </c>
      <c r="J58" s="40"/>
      <c r="K58" s="40"/>
      <c r="L58" s="46" t="s">
        <v>81</v>
      </c>
      <c r="M58" s="55"/>
      <c r="O58" s="149" t="s">
        <v>95</v>
      </c>
      <c r="P58" s="40"/>
      <c r="Q58" s="40"/>
      <c r="R58" s="40"/>
      <c r="S58" s="149" t="s">
        <v>228</v>
      </c>
      <c r="T58" s="46" t="s">
        <v>121</v>
      </c>
      <c r="U58" s="55"/>
      <c r="V58" s="40" t="s">
        <v>68</v>
      </c>
      <c r="W58" s="40" t="s">
        <v>95</v>
      </c>
      <c r="X58" s="40"/>
      <c r="Y58" s="40"/>
      <c r="Z58" s="40" t="s">
        <v>94</v>
      </c>
      <c r="AA58" s="40"/>
      <c r="AB58" s="40"/>
      <c r="AC58" s="40"/>
    </row>
    <row r="59" spans="1:30">
      <c r="A59" s="41"/>
      <c r="B59" s="13"/>
      <c r="H59" s="40"/>
      <c r="I59" s="40" t="s">
        <v>89</v>
      </c>
      <c r="J59" s="40"/>
      <c r="K59" s="40"/>
      <c r="L59" s="46" t="s">
        <v>82</v>
      </c>
      <c r="M59" s="55"/>
      <c r="O59" s="149" t="s">
        <v>96</v>
      </c>
      <c r="P59" s="40"/>
      <c r="Q59" s="40"/>
      <c r="R59" s="40"/>
      <c r="S59" s="149" t="s">
        <v>275</v>
      </c>
      <c r="T59" s="46" t="s">
        <v>122</v>
      </c>
      <c r="U59" s="55"/>
      <c r="V59" s="40" t="s">
        <v>69</v>
      </c>
      <c r="W59" s="40" t="s">
        <v>96</v>
      </c>
      <c r="X59" s="40"/>
      <c r="Y59" s="40"/>
      <c r="Z59" s="40" t="s">
        <v>95</v>
      </c>
      <c r="AA59" s="40"/>
      <c r="AB59" s="40"/>
      <c r="AC59" s="40"/>
    </row>
    <row r="60" spans="1:30">
      <c r="A60" s="41"/>
      <c r="B60" s="13"/>
      <c r="H60" s="40"/>
      <c r="I60" s="40" t="s">
        <v>90</v>
      </c>
      <c r="J60" s="40"/>
      <c r="K60" s="40"/>
      <c r="L60" s="46" t="s">
        <v>85</v>
      </c>
      <c r="M60" s="55"/>
      <c r="O60" s="149" t="s">
        <v>97</v>
      </c>
      <c r="P60" s="40"/>
      <c r="Q60" s="40"/>
      <c r="R60" s="40"/>
      <c r="S60" s="149" t="s">
        <v>134</v>
      </c>
      <c r="T60" s="46" t="s">
        <v>123</v>
      </c>
      <c r="U60" s="55"/>
      <c r="V60" s="40" t="s">
        <v>70</v>
      </c>
      <c r="W60" s="40" t="s">
        <v>98</v>
      </c>
      <c r="X60" s="40"/>
      <c r="Y60" s="40"/>
      <c r="Z60" s="40" t="s">
        <v>96</v>
      </c>
      <c r="AA60" s="40"/>
      <c r="AB60" s="40"/>
      <c r="AC60" s="40"/>
    </row>
    <row r="61" spans="1:30">
      <c r="A61" s="41"/>
      <c r="B61" s="13"/>
      <c r="H61" s="40"/>
      <c r="I61" s="40" t="s">
        <v>91</v>
      </c>
      <c r="J61" s="40"/>
      <c r="K61" s="40"/>
      <c r="L61" s="46" t="s">
        <v>86</v>
      </c>
      <c r="M61" s="55"/>
      <c r="O61" s="149" t="s">
        <v>98</v>
      </c>
      <c r="P61" s="40"/>
      <c r="Q61" s="40"/>
      <c r="R61" s="40"/>
      <c r="S61" s="46" t="s">
        <v>135</v>
      </c>
      <c r="T61" s="46" t="s">
        <v>126</v>
      </c>
      <c r="U61" s="55"/>
      <c r="V61" s="40" t="s">
        <v>73</v>
      </c>
      <c r="W61" s="40" t="s">
        <v>99</v>
      </c>
      <c r="X61" s="40"/>
      <c r="Y61" s="40"/>
      <c r="Z61" s="40" t="s">
        <v>97</v>
      </c>
      <c r="AA61" s="40"/>
      <c r="AB61" s="40"/>
      <c r="AC61" s="40"/>
    </row>
    <row r="62" spans="1:30">
      <c r="A62" s="41"/>
      <c r="B62" s="13"/>
      <c r="H62" s="40"/>
      <c r="I62" s="40" t="s">
        <v>92</v>
      </c>
      <c r="J62" s="40"/>
      <c r="K62" s="40"/>
      <c r="L62" s="46" t="s">
        <v>87</v>
      </c>
      <c r="M62" s="55"/>
      <c r="O62" s="149" t="s">
        <v>99</v>
      </c>
      <c r="P62" s="40"/>
      <c r="Q62" s="40"/>
      <c r="R62" s="40"/>
      <c r="S62" s="46" t="s">
        <v>136</v>
      </c>
      <c r="T62" s="46" t="s">
        <v>127</v>
      </c>
      <c r="U62" s="55"/>
      <c r="V62" s="40" t="s">
        <v>74</v>
      </c>
      <c r="W62" s="40" t="s">
        <v>100</v>
      </c>
      <c r="X62" s="40"/>
      <c r="Y62" s="40"/>
      <c r="Z62" s="40" t="s">
        <v>98</v>
      </c>
      <c r="AA62" s="40"/>
      <c r="AB62" s="40"/>
      <c r="AC62" s="40"/>
    </row>
    <row r="63" spans="1:30">
      <c r="A63" s="41"/>
      <c r="B63" s="13"/>
      <c r="H63" s="40"/>
      <c r="I63" s="40" t="s">
        <v>93</v>
      </c>
      <c r="J63" s="40"/>
      <c r="K63" s="40"/>
      <c r="L63" s="46" t="s">
        <v>225</v>
      </c>
      <c r="M63" s="55"/>
      <c r="O63" s="149" t="s">
        <v>100</v>
      </c>
      <c r="P63" s="40"/>
      <c r="Q63" s="40"/>
      <c r="R63" s="40"/>
      <c r="S63" s="46" t="s">
        <v>138</v>
      </c>
      <c r="T63" s="46" t="s">
        <v>128</v>
      </c>
      <c r="U63" s="55"/>
      <c r="V63" s="40" t="s">
        <v>75</v>
      </c>
      <c r="W63" s="40" t="s">
        <v>102</v>
      </c>
      <c r="X63" s="40"/>
      <c r="Y63" s="40"/>
      <c r="Z63" s="40" t="s">
        <v>99</v>
      </c>
      <c r="AA63" s="40"/>
      <c r="AB63" s="40"/>
      <c r="AC63" s="40"/>
    </row>
    <row r="64" spans="1:30">
      <c r="A64" s="41"/>
      <c r="B64" s="13"/>
      <c r="H64" s="40"/>
      <c r="I64" s="40" t="s">
        <v>94</v>
      </c>
      <c r="J64" s="40"/>
      <c r="K64" s="40"/>
      <c r="L64" s="46" t="s">
        <v>234</v>
      </c>
      <c r="M64" s="55"/>
      <c r="O64" s="149" t="s">
        <v>101</v>
      </c>
      <c r="P64" s="40"/>
      <c r="Q64" s="40"/>
      <c r="R64" s="40"/>
      <c r="S64" s="149"/>
      <c r="T64" s="46" t="s">
        <v>131</v>
      </c>
      <c r="U64" s="55"/>
      <c r="V64" s="40" t="s">
        <v>203</v>
      </c>
      <c r="W64" s="40" t="s">
        <v>103</v>
      </c>
      <c r="X64" s="40"/>
      <c r="Y64" s="40"/>
      <c r="Z64" s="40" t="s">
        <v>100</v>
      </c>
      <c r="AA64" s="40"/>
      <c r="AB64" s="40"/>
      <c r="AC64" s="40"/>
    </row>
    <row r="65" spans="1:29">
      <c r="A65" s="41"/>
      <c r="B65" s="13"/>
      <c r="H65" s="40"/>
      <c r="I65" s="40" t="s">
        <v>95</v>
      </c>
      <c r="J65" s="40"/>
      <c r="K65" s="40"/>
      <c r="L65" s="46" t="s">
        <v>88</v>
      </c>
      <c r="M65" s="55"/>
      <c r="O65" s="149" t="s">
        <v>102</v>
      </c>
      <c r="P65" s="40"/>
      <c r="Q65" s="40"/>
      <c r="R65" s="40"/>
      <c r="S65" s="152" t="s">
        <v>612</v>
      </c>
      <c r="T65" s="46" t="s">
        <v>235</v>
      </c>
      <c r="U65" s="55"/>
      <c r="V65" s="40" t="s">
        <v>76</v>
      </c>
      <c r="W65" s="40" t="s">
        <v>104</v>
      </c>
      <c r="X65" s="40"/>
      <c r="Y65" s="40"/>
      <c r="Z65" s="40" t="s">
        <v>101</v>
      </c>
      <c r="AA65" s="40"/>
      <c r="AB65" s="40"/>
      <c r="AC65" s="40"/>
    </row>
    <row r="66" spans="1:29">
      <c r="A66" s="41"/>
      <c r="B66" s="13"/>
      <c r="H66" s="40"/>
      <c r="I66" s="40" t="s">
        <v>96</v>
      </c>
      <c r="J66" s="40"/>
      <c r="K66" s="40"/>
      <c r="L66" s="46" t="s">
        <v>90</v>
      </c>
      <c r="M66" s="55"/>
      <c r="O66" s="149" t="s">
        <v>103</v>
      </c>
      <c r="P66" s="40"/>
      <c r="Q66" s="40"/>
      <c r="R66" s="40"/>
      <c r="S66" s="152" t="s">
        <v>613</v>
      </c>
      <c r="T66" s="46" t="s">
        <v>132</v>
      </c>
      <c r="U66" s="55"/>
      <c r="V66" s="40" t="s">
        <v>77</v>
      </c>
      <c r="W66" s="40" t="s">
        <v>105</v>
      </c>
      <c r="X66" s="40"/>
      <c r="Y66" s="40"/>
      <c r="Z66" s="40" t="s">
        <v>103</v>
      </c>
      <c r="AA66" s="40"/>
      <c r="AB66" s="40"/>
      <c r="AC66" s="40"/>
    </row>
    <row r="67" spans="1:29">
      <c r="A67" s="41"/>
      <c r="B67" s="13"/>
      <c r="H67" s="40"/>
      <c r="I67" s="40" t="s">
        <v>97</v>
      </c>
      <c r="J67" s="40"/>
      <c r="K67" s="40"/>
      <c r="L67" s="46" t="s">
        <v>91</v>
      </c>
      <c r="M67" s="55"/>
      <c r="O67" s="149" t="s">
        <v>104</v>
      </c>
      <c r="P67" s="40"/>
      <c r="Q67" s="40"/>
      <c r="R67" s="40"/>
      <c r="S67" s="152" t="s">
        <v>615</v>
      </c>
      <c r="T67" s="46" t="s">
        <v>228</v>
      </c>
      <c r="U67" s="55"/>
      <c r="V67" s="40" t="s">
        <v>79</v>
      </c>
      <c r="W67" s="40" t="s">
        <v>106</v>
      </c>
      <c r="X67" s="40"/>
      <c r="Y67" s="40"/>
      <c r="Z67" s="40" t="s">
        <v>104</v>
      </c>
      <c r="AA67" s="40"/>
      <c r="AB67" s="40"/>
      <c r="AC67" s="40"/>
    </row>
    <row r="68" spans="1:29">
      <c r="A68" s="41"/>
      <c r="B68" s="13"/>
      <c r="H68" s="40"/>
      <c r="I68" s="40" t="s">
        <v>98</v>
      </c>
      <c r="J68" s="40"/>
      <c r="K68" s="40"/>
      <c r="L68" s="46" t="s">
        <v>92</v>
      </c>
      <c r="M68" s="55"/>
      <c r="O68" s="149" t="s">
        <v>106</v>
      </c>
      <c r="P68" s="40"/>
      <c r="Q68" s="40"/>
      <c r="R68" s="40"/>
      <c r="S68" s="152" t="s">
        <v>614</v>
      </c>
      <c r="T68" s="46" t="s">
        <v>134</v>
      </c>
      <c r="U68" s="55"/>
      <c r="V68" s="40" t="s">
        <v>80</v>
      </c>
      <c r="W68" s="40" t="s">
        <v>107</v>
      </c>
      <c r="X68" s="40"/>
      <c r="Y68" s="40"/>
      <c r="Z68" s="40" t="s">
        <v>105</v>
      </c>
      <c r="AA68" s="40"/>
      <c r="AB68" s="40"/>
      <c r="AC68" s="40"/>
    </row>
    <row r="69" spans="1:29">
      <c r="A69" s="41"/>
      <c r="B69" s="13"/>
      <c r="H69" s="40"/>
      <c r="I69" s="40" t="s">
        <v>99</v>
      </c>
      <c r="J69" s="40"/>
      <c r="K69" s="40"/>
      <c r="L69" s="46" t="s">
        <v>93</v>
      </c>
      <c r="M69" s="55"/>
      <c r="O69" s="149" t="s">
        <v>107</v>
      </c>
      <c r="P69" s="40"/>
      <c r="Q69" s="40"/>
      <c r="R69" s="40"/>
      <c r="S69" s="152" t="s">
        <v>616</v>
      </c>
      <c r="T69" s="46" t="s">
        <v>135</v>
      </c>
      <c r="U69" s="55"/>
      <c r="V69" s="40" t="s">
        <v>242</v>
      </c>
      <c r="W69" s="40" t="s">
        <v>108</v>
      </c>
      <c r="X69" s="40"/>
      <c r="Y69" s="40"/>
      <c r="Z69" s="40" t="s">
        <v>106</v>
      </c>
      <c r="AA69" s="40"/>
      <c r="AB69" s="40"/>
      <c r="AC69" s="40"/>
    </row>
    <row r="70" spans="1:29">
      <c r="A70" s="41"/>
      <c r="B70" s="13"/>
      <c r="H70" s="40"/>
      <c r="I70" s="40" t="s">
        <v>100</v>
      </c>
      <c r="J70" s="40"/>
      <c r="K70" s="40"/>
      <c r="L70" s="46" t="s">
        <v>94</v>
      </c>
      <c r="M70" s="55"/>
      <c r="O70" s="149" t="s">
        <v>108</v>
      </c>
      <c r="P70" s="40"/>
      <c r="Q70" s="40"/>
      <c r="R70" s="40"/>
      <c r="S70" s="152" t="s">
        <v>617</v>
      </c>
      <c r="T70" s="46" t="s">
        <v>136</v>
      </c>
      <c r="U70" s="55"/>
      <c r="V70" s="40" t="s">
        <v>225</v>
      </c>
      <c r="W70" s="40" t="s">
        <v>35</v>
      </c>
      <c r="X70" s="40"/>
      <c r="Y70" s="40"/>
      <c r="Z70" s="40" t="s">
        <v>107</v>
      </c>
      <c r="AA70" s="40"/>
      <c r="AB70" s="40"/>
      <c r="AC70" s="40"/>
    </row>
    <row r="71" spans="1:29">
      <c r="A71" s="41"/>
      <c r="B71" s="13"/>
      <c r="H71" s="40"/>
      <c r="I71" s="40" t="s">
        <v>101</v>
      </c>
      <c r="J71" s="40"/>
      <c r="K71" s="40"/>
      <c r="L71" s="46" t="s">
        <v>95</v>
      </c>
      <c r="M71" s="55"/>
      <c r="O71" s="149" t="s">
        <v>35</v>
      </c>
      <c r="P71" s="40"/>
      <c r="Q71" s="40"/>
      <c r="R71" s="40"/>
      <c r="S71" s="152" t="s">
        <v>618</v>
      </c>
      <c r="T71" s="46" t="s">
        <v>137</v>
      </c>
      <c r="U71" s="55"/>
      <c r="V71" s="40" t="s">
        <v>226</v>
      </c>
      <c r="W71" s="40" t="s">
        <v>36</v>
      </c>
      <c r="X71" s="40"/>
      <c r="Y71" s="40"/>
      <c r="Z71" s="40" t="s">
        <v>108</v>
      </c>
      <c r="AA71" s="40"/>
      <c r="AB71" s="40"/>
      <c r="AC71" s="40"/>
    </row>
    <row r="72" spans="1:29">
      <c r="A72" s="41"/>
      <c r="B72" s="13"/>
      <c r="H72" s="40"/>
      <c r="I72" s="40" t="s">
        <v>102</v>
      </c>
      <c r="J72" s="40"/>
      <c r="K72" s="40"/>
      <c r="L72" s="46" t="s">
        <v>96</v>
      </c>
      <c r="M72" s="55"/>
      <c r="O72" s="149" t="s">
        <v>36</v>
      </c>
      <c r="P72" s="40"/>
      <c r="Q72" s="40"/>
      <c r="R72" s="40"/>
      <c r="S72" s="153" t="s">
        <v>622</v>
      </c>
      <c r="T72" s="46" t="s">
        <v>138</v>
      </c>
      <c r="U72" s="55"/>
      <c r="V72" s="40" t="s">
        <v>234</v>
      </c>
      <c r="W72" s="40" t="s">
        <v>37</v>
      </c>
      <c r="X72" s="40"/>
      <c r="Y72" s="40"/>
      <c r="Z72" s="40" t="s">
        <v>35</v>
      </c>
      <c r="AA72" s="40"/>
      <c r="AB72" s="40"/>
      <c r="AC72" s="40"/>
    </row>
    <row r="73" spans="1:29">
      <c r="A73" s="41"/>
      <c r="B73" s="13"/>
      <c r="H73" s="40"/>
      <c r="I73" s="40" t="s">
        <v>103</v>
      </c>
      <c r="J73" s="40"/>
      <c r="K73" s="40"/>
      <c r="L73" s="46" t="s">
        <v>97</v>
      </c>
      <c r="M73" s="55"/>
      <c r="O73" s="149" t="s">
        <v>37</v>
      </c>
      <c r="P73" s="40"/>
      <c r="Q73" s="40"/>
      <c r="R73" s="40"/>
      <c r="S73" s="153" t="s">
        <v>623</v>
      </c>
      <c r="T73" s="46" t="s">
        <v>139</v>
      </c>
      <c r="U73" s="55"/>
      <c r="V73" s="40" t="s">
        <v>85</v>
      </c>
      <c r="W73" s="40" t="s">
        <v>109</v>
      </c>
      <c r="X73" s="40"/>
      <c r="Y73" s="40"/>
      <c r="Z73" s="40" t="s">
        <v>36</v>
      </c>
      <c r="AA73" s="40"/>
      <c r="AB73" s="40"/>
      <c r="AC73" s="40"/>
    </row>
    <row r="74" spans="1:29">
      <c r="A74" s="41"/>
      <c r="B74" s="13"/>
      <c r="H74" s="40"/>
      <c r="I74" s="40" t="s">
        <v>104</v>
      </c>
      <c r="J74" s="40"/>
      <c r="K74" s="40"/>
      <c r="L74" s="46" t="s">
        <v>98</v>
      </c>
      <c r="M74" s="55"/>
      <c r="O74" s="149" t="s">
        <v>109</v>
      </c>
      <c r="P74" s="40"/>
      <c r="Q74" s="40"/>
      <c r="R74" s="40"/>
      <c r="S74" s="153" t="s">
        <v>625</v>
      </c>
      <c r="T74" s="46" t="s">
        <v>140</v>
      </c>
      <c r="U74" s="55"/>
      <c r="V74" s="40" t="s">
        <v>87</v>
      </c>
      <c r="W74" s="40" t="s">
        <v>113</v>
      </c>
      <c r="X74" s="40"/>
      <c r="Y74" s="40"/>
      <c r="Z74" s="40" t="s">
        <v>37</v>
      </c>
      <c r="AA74" s="40"/>
      <c r="AB74" s="40"/>
      <c r="AC74" s="40"/>
    </row>
    <row r="75" spans="1:29">
      <c r="A75" s="41"/>
      <c r="B75" s="13"/>
      <c r="H75" s="40"/>
      <c r="I75" s="40" t="s">
        <v>105</v>
      </c>
      <c r="J75" s="40"/>
      <c r="K75" s="40"/>
      <c r="L75" s="46" t="s">
        <v>99</v>
      </c>
      <c r="M75" s="55"/>
      <c r="O75" s="149" t="s">
        <v>110</v>
      </c>
      <c r="P75" s="40"/>
      <c r="Q75" s="40"/>
      <c r="R75" s="40"/>
      <c r="S75" s="153" t="s">
        <v>627</v>
      </c>
      <c r="T75" s="55"/>
      <c r="U75" s="55"/>
      <c r="V75" s="40" t="s">
        <v>243</v>
      </c>
      <c r="W75" s="40" t="s">
        <v>115</v>
      </c>
      <c r="X75" s="40"/>
      <c r="Y75" s="40"/>
      <c r="Z75" s="40" t="s">
        <v>266</v>
      </c>
      <c r="AA75" s="40"/>
      <c r="AB75" s="40"/>
      <c r="AC75" s="40"/>
    </row>
    <row r="76" spans="1:29">
      <c r="A76" s="41"/>
      <c r="B76" s="13"/>
      <c r="H76" s="40"/>
      <c r="I76" s="40" t="s">
        <v>106</v>
      </c>
      <c r="J76" s="40"/>
      <c r="K76" s="40"/>
      <c r="L76" s="46" t="s">
        <v>100</v>
      </c>
      <c r="M76" s="55"/>
      <c r="O76" s="149" t="s">
        <v>208</v>
      </c>
      <c r="P76" s="40"/>
      <c r="Q76" s="40"/>
      <c r="R76" s="40"/>
      <c r="S76" s="153" t="s">
        <v>629</v>
      </c>
      <c r="T76" s="40"/>
      <c r="U76" s="55"/>
      <c r="V76" s="40" t="s">
        <v>227</v>
      </c>
      <c r="W76" s="40" t="s">
        <v>244</v>
      </c>
      <c r="X76" s="40"/>
      <c r="Y76" s="40"/>
      <c r="Z76" s="40" t="s">
        <v>109</v>
      </c>
      <c r="AA76" s="40"/>
      <c r="AB76" s="40"/>
      <c r="AC76" s="40"/>
    </row>
    <row r="77" spans="1:29">
      <c r="A77" s="41"/>
      <c r="B77" s="13"/>
      <c r="H77" s="40"/>
      <c r="I77" s="40" t="s">
        <v>107</v>
      </c>
      <c r="J77" s="40"/>
      <c r="K77" s="40"/>
      <c r="L77" s="46" t="s">
        <v>101</v>
      </c>
      <c r="M77" s="55"/>
      <c r="O77" s="149" t="s">
        <v>218</v>
      </c>
      <c r="P77" s="40"/>
      <c r="Q77" s="40"/>
      <c r="R77" s="40"/>
      <c r="S77" s="153" t="s">
        <v>632</v>
      </c>
      <c r="T77" s="40"/>
      <c r="U77" s="55"/>
      <c r="V77" s="40" t="s">
        <v>91</v>
      </c>
      <c r="W77" s="40" t="s">
        <v>118</v>
      </c>
      <c r="X77" s="40"/>
      <c r="Y77" s="40"/>
      <c r="Z77" s="40" t="s">
        <v>282</v>
      </c>
      <c r="AA77" s="40"/>
      <c r="AB77" s="40"/>
      <c r="AC77" s="40"/>
    </row>
    <row r="78" spans="1:29">
      <c r="A78" s="41"/>
      <c r="B78" s="13"/>
      <c r="H78" s="40"/>
      <c r="I78" s="40" t="s">
        <v>108</v>
      </c>
      <c r="J78" s="40"/>
      <c r="K78" s="40"/>
      <c r="L78" s="46" t="s">
        <v>102</v>
      </c>
      <c r="M78" s="55"/>
      <c r="O78" s="149" t="s">
        <v>115</v>
      </c>
      <c r="P78" s="40"/>
      <c r="Q78" s="40"/>
      <c r="R78" s="40"/>
      <c r="S78" s="153" t="s">
        <v>633</v>
      </c>
      <c r="T78" s="40"/>
      <c r="U78" s="55"/>
      <c r="V78" s="40" t="s">
        <v>92</v>
      </c>
      <c r="W78" s="40" t="s">
        <v>119</v>
      </c>
      <c r="X78" s="40"/>
      <c r="Y78" s="40"/>
      <c r="Z78" s="40" t="s">
        <v>112</v>
      </c>
      <c r="AA78" s="40"/>
      <c r="AB78" s="40"/>
      <c r="AC78" s="40"/>
    </row>
    <row r="79" spans="1:29">
      <c r="A79" s="41"/>
      <c r="B79" s="13"/>
      <c r="H79" s="40"/>
      <c r="I79" s="40" t="s">
        <v>35</v>
      </c>
      <c r="J79" s="40"/>
      <c r="K79" s="40"/>
      <c r="L79" s="46" t="s">
        <v>103</v>
      </c>
      <c r="M79" s="55"/>
      <c r="O79" s="149" t="s">
        <v>117</v>
      </c>
      <c r="P79" s="40"/>
      <c r="Q79" s="40"/>
      <c r="R79" s="40"/>
      <c r="S79" s="40"/>
      <c r="T79" s="40"/>
      <c r="U79" s="55"/>
      <c r="V79" s="40" t="s">
        <v>93</v>
      </c>
      <c r="W79" s="40" t="s">
        <v>120</v>
      </c>
      <c r="X79" s="40"/>
      <c r="Y79" s="40"/>
      <c r="Z79" s="40" t="s">
        <v>113</v>
      </c>
      <c r="AA79" s="40"/>
      <c r="AB79" s="40"/>
      <c r="AC79" s="40"/>
    </row>
    <row r="80" spans="1:29">
      <c r="A80" s="41"/>
      <c r="B80" s="13"/>
      <c r="H80" s="40"/>
      <c r="I80" s="40" t="s">
        <v>36</v>
      </c>
      <c r="J80" s="40"/>
      <c r="K80" s="40"/>
      <c r="L80" s="46" t="s">
        <v>104</v>
      </c>
      <c r="M80" s="55"/>
      <c r="O80" s="149" t="s">
        <v>118</v>
      </c>
      <c r="P80" s="40"/>
      <c r="Q80" s="40"/>
      <c r="R80" s="40"/>
      <c r="S80" s="40"/>
      <c r="T80" s="40"/>
      <c r="U80" s="55"/>
      <c r="V80" s="40" t="s">
        <v>94</v>
      </c>
      <c r="W80" s="40" t="s">
        <v>122</v>
      </c>
      <c r="X80" s="40"/>
      <c r="Y80" s="40"/>
      <c r="Z80" s="40" t="s">
        <v>208</v>
      </c>
      <c r="AA80" s="40"/>
      <c r="AB80" s="40"/>
      <c r="AC80" s="40"/>
    </row>
    <row r="81" spans="1:29">
      <c r="A81" s="41"/>
      <c r="B81" s="13"/>
      <c r="H81" s="40"/>
      <c r="I81" s="40" t="s">
        <v>37</v>
      </c>
      <c r="J81" s="40"/>
      <c r="K81" s="40"/>
      <c r="L81" s="46" t="s">
        <v>105</v>
      </c>
      <c r="M81" s="55"/>
      <c r="O81" s="149" t="s">
        <v>119</v>
      </c>
      <c r="P81" s="40"/>
      <c r="Q81" s="40"/>
      <c r="R81" s="40"/>
      <c r="S81" s="40"/>
      <c r="T81" s="40"/>
      <c r="U81" s="55"/>
      <c r="V81" s="40" t="s">
        <v>95</v>
      </c>
      <c r="W81" s="40" t="s">
        <v>123</v>
      </c>
      <c r="X81" s="40"/>
      <c r="Y81" s="40"/>
      <c r="Z81" s="40" t="s">
        <v>283</v>
      </c>
      <c r="AA81" s="40"/>
      <c r="AB81" s="40"/>
      <c r="AC81" s="40"/>
    </row>
    <row r="82" spans="1:29">
      <c r="A82" s="41"/>
      <c r="B82" s="13"/>
      <c r="H82" s="40"/>
      <c r="I82" s="40" t="s">
        <v>109</v>
      </c>
      <c r="J82" s="40"/>
      <c r="K82" s="40"/>
      <c r="L82" s="46" t="s">
        <v>106</v>
      </c>
      <c r="M82" s="55"/>
      <c r="O82" s="149" t="s">
        <v>120</v>
      </c>
      <c r="P82" s="40"/>
      <c r="Q82" s="40"/>
      <c r="R82" s="40"/>
      <c r="S82" s="40"/>
      <c r="T82" s="40"/>
      <c r="U82" s="55"/>
      <c r="V82" s="40" t="s">
        <v>96</v>
      </c>
      <c r="W82" s="40" t="s">
        <v>250</v>
      </c>
      <c r="X82" s="40"/>
      <c r="Y82" s="40"/>
      <c r="Z82" s="40" t="s">
        <v>114</v>
      </c>
      <c r="AA82" s="40"/>
      <c r="AB82" s="40"/>
      <c r="AC82" s="40"/>
    </row>
    <row r="83" spans="1:29">
      <c r="A83" s="41"/>
      <c r="B83" s="13"/>
      <c r="H83" s="40"/>
      <c r="I83" s="40" t="s">
        <v>110</v>
      </c>
      <c r="J83" s="40"/>
      <c r="K83" s="40"/>
      <c r="L83" s="46" t="s">
        <v>107</v>
      </c>
      <c r="M83" s="55"/>
      <c r="O83" s="149" t="s">
        <v>209</v>
      </c>
      <c r="P83" s="40"/>
      <c r="Q83" s="40"/>
      <c r="R83" s="40"/>
      <c r="S83" s="40"/>
      <c r="T83" s="40"/>
      <c r="U83" s="55"/>
      <c r="V83" s="40" t="s">
        <v>97</v>
      </c>
      <c r="W83" s="40" t="s">
        <v>182</v>
      </c>
      <c r="X83" s="40"/>
      <c r="Y83" s="40"/>
      <c r="Z83" s="40" t="s">
        <v>218</v>
      </c>
      <c r="AA83" s="40"/>
      <c r="AB83" s="40"/>
      <c r="AC83" s="40"/>
    </row>
    <row r="84" spans="1:29">
      <c r="A84" s="41"/>
      <c r="B84" s="13"/>
      <c r="H84" s="40"/>
      <c r="I84" s="40" t="s">
        <v>111</v>
      </c>
      <c r="J84" s="40"/>
      <c r="K84" s="40"/>
      <c r="L84" s="46" t="s">
        <v>108</v>
      </c>
      <c r="M84" s="55"/>
      <c r="O84" s="149" t="s">
        <v>121</v>
      </c>
      <c r="P84" s="40"/>
      <c r="Q84" s="40"/>
      <c r="R84" s="40"/>
      <c r="S84" s="40"/>
      <c r="T84" s="40"/>
      <c r="U84" s="40"/>
      <c r="V84" s="40" t="s">
        <v>98</v>
      </c>
      <c r="W84" s="40" t="s">
        <v>125</v>
      </c>
      <c r="X84" s="40"/>
      <c r="Y84" s="40"/>
      <c r="Z84" s="40" t="s">
        <v>115</v>
      </c>
      <c r="AA84" s="40"/>
      <c r="AB84" s="40"/>
      <c r="AC84" s="40"/>
    </row>
    <row r="85" spans="1:29">
      <c r="A85" s="41"/>
      <c r="B85" s="13"/>
      <c r="H85" s="40"/>
      <c r="I85" s="40" t="s">
        <v>112</v>
      </c>
      <c r="J85" s="40"/>
      <c r="K85" s="40"/>
      <c r="L85" s="46" t="s">
        <v>36</v>
      </c>
      <c r="M85" s="55"/>
      <c r="O85" s="149" t="s">
        <v>122</v>
      </c>
      <c r="P85" s="40"/>
      <c r="Q85" s="40"/>
      <c r="R85" s="40"/>
      <c r="S85" s="40"/>
      <c r="T85" s="40"/>
      <c r="U85" s="40"/>
      <c r="V85" s="40" t="s">
        <v>99</v>
      </c>
      <c r="W85" s="40" t="s">
        <v>126</v>
      </c>
      <c r="X85" s="40"/>
      <c r="Y85" s="40"/>
      <c r="Z85" s="40" t="s">
        <v>117</v>
      </c>
      <c r="AA85" s="40"/>
      <c r="AB85" s="40"/>
      <c r="AC85" s="40"/>
    </row>
    <row r="86" spans="1:29">
      <c r="A86" s="41"/>
      <c r="B86" s="13"/>
      <c r="H86" s="40"/>
      <c r="I86" s="40" t="s">
        <v>113</v>
      </c>
      <c r="J86" s="40"/>
      <c r="K86" s="40"/>
      <c r="L86" s="46" t="s">
        <v>37</v>
      </c>
      <c r="M86" s="55"/>
      <c r="O86" s="149" t="s">
        <v>123</v>
      </c>
      <c r="P86" s="40"/>
      <c r="Q86" s="40"/>
      <c r="R86" s="40"/>
      <c r="S86" s="40"/>
      <c r="T86" s="40"/>
      <c r="U86" s="40"/>
      <c r="V86" s="40" t="s">
        <v>100</v>
      </c>
      <c r="W86" s="40" t="s">
        <v>127</v>
      </c>
      <c r="X86" s="40"/>
      <c r="Y86" s="40"/>
      <c r="Z86" s="40" t="s">
        <v>244</v>
      </c>
      <c r="AA86" s="40"/>
      <c r="AB86" s="40"/>
      <c r="AC86" s="40"/>
    </row>
    <row r="87" spans="1:29">
      <c r="A87" s="41"/>
      <c r="B87" s="13"/>
      <c r="H87" s="40"/>
      <c r="I87" s="40" t="s">
        <v>114</v>
      </c>
      <c r="J87" s="40"/>
      <c r="K87" s="40"/>
      <c r="L87" s="46" t="s">
        <v>109</v>
      </c>
      <c r="M87" s="55"/>
      <c r="O87" s="149" t="s">
        <v>125</v>
      </c>
      <c r="P87" s="40"/>
      <c r="Q87" s="40"/>
      <c r="R87" s="40"/>
      <c r="S87" s="40"/>
      <c r="T87" s="40"/>
      <c r="U87" s="40"/>
      <c r="V87" s="40" t="s">
        <v>101</v>
      </c>
      <c r="W87" s="40" t="s">
        <v>131</v>
      </c>
      <c r="X87" s="40"/>
      <c r="Y87" s="40"/>
      <c r="Z87" s="40" t="s">
        <v>118</v>
      </c>
      <c r="AA87" s="40"/>
      <c r="AB87" s="40"/>
      <c r="AC87" s="40"/>
    </row>
    <row r="88" spans="1:29">
      <c r="A88" s="41"/>
      <c r="B88" s="13"/>
      <c r="H88" s="40"/>
      <c r="I88" s="40" t="s">
        <v>115</v>
      </c>
      <c r="J88" s="40"/>
      <c r="K88" s="40"/>
      <c r="L88" s="46" t="s">
        <v>110</v>
      </c>
      <c r="M88" s="55"/>
      <c r="O88" s="149" t="s">
        <v>126</v>
      </c>
      <c r="P88" s="40"/>
      <c r="Q88" s="40"/>
      <c r="R88" s="40"/>
      <c r="S88" s="40"/>
      <c r="T88" s="40"/>
      <c r="U88" s="40"/>
      <c r="V88" s="40" t="s">
        <v>102</v>
      </c>
      <c r="W88" s="40" t="s">
        <v>132</v>
      </c>
      <c r="X88" s="40"/>
      <c r="Y88" s="40"/>
      <c r="Z88" s="40" t="s">
        <v>119</v>
      </c>
      <c r="AA88" s="40"/>
      <c r="AB88" s="40"/>
      <c r="AC88" s="40"/>
    </row>
    <row r="89" spans="1:29">
      <c r="A89" s="41"/>
      <c r="B89" s="13"/>
      <c r="H89" s="40"/>
      <c r="I89" s="40" t="s">
        <v>116</v>
      </c>
      <c r="J89" s="40"/>
      <c r="K89" s="40"/>
      <c r="L89" s="46" t="s">
        <v>112</v>
      </c>
      <c r="M89" s="55"/>
      <c r="O89" s="149" t="s">
        <v>127</v>
      </c>
      <c r="P89" s="40"/>
      <c r="Q89" s="40"/>
      <c r="R89" s="40"/>
      <c r="S89" s="40"/>
      <c r="T89" s="40"/>
      <c r="U89" s="40"/>
      <c r="V89" s="40" t="s">
        <v>103</v>
      </c>
      <c r="W89" s="40" t="s">
        <v>251</v>
      </c>
      <c r="X89" s="40"/>
      <c r="Y89" s="40"/>
      <c r="Z89" s="40" t="s">
        <v>120</v>
      </c>
      <c r="AA89" s="40"/>
      <c r="AB89" s="40"/>
      <c r="AC89" s="40"/>
    </row>
    <row r="90" spans="1:29">
      <c r="A90" s="41"/>
      <c r="B90" s="13"/>
      <c r="H90" s="40"/>
      <c r="I90" s="40" t="s">
        <v>117</v>
      </c>
      <c r="J90" s="40"/>
      <c r="K90" s="40"/>
      <c r="L90" s="46" t="s">
        <v>113</v>
      </c>
      <c r="M90" s="55"/>
      <c r="O90" s="149" t="s">
        <v>129</v>
      </c>
      <c r="P90" s="40"/>
      <c r="Q90" s="40"/>
      <c r="R90" s="40"/>
      <c r="S90" s="40"/>
      <c r="T90" s="40"/>
      <c r="U90" s="40"/>
      <c r="V90" s="40" t="s">
        <v>104</v>
      </c>
      <c r="W90" s="40" t="s">
        <v>134</v>
      </c>
      <c r="X90" s="40"/>
      <c r="Y90" s="40"/>
      <c r="Z90" s="40" t="s">
        <v>121</v>
      </c>
      <c r="AA90" s="40"/>
      <c r="AB90" s="40"/>
      <c r="AC90" s="40"/>
    </row>
    <row r="91" spans="1:29">
      <c r="A91" s="41"/>
      <c r="B91" s="13"/>
      <c r="H91" s="40"/>
      <c r="I91" s="40" t="s">
        <v>118</v>
      </c>
      <c r="J91" s="40"/>
      <c r="K91" s="40"/>
      <c r="L91" s="46" t="s">
        <v>208</v>
      </c>
      <c r="M91" s="55"/>
      <c r="O91" s="149" t="s">
        <v>131</v>
      </c>
      <c r="P91" s="40"/>
      <c r="Q91" s="40"/>
      <c r="R91" s="40"/>
      <c r="S91" s="40"/>
      <c r="T91" s="40"/>
      <c r="U91" s="40"/>
      <c r="V91" s="40" t="s">
        <v>107</v>
      </c>
      <c r="W91" s="40" t="s">
        <v>135</v>
      </c>
      <c r="X91" s="40"/>
      <c r="Y91" s="40"/>
      <c r="Z91" s="40" t="s">
        <v>122</v>
      </c>
      <c r="AA91" s="40"/>
      <c r="AB91" s="40"/>
      <c r="AC91" s="40"/>
    </row>
    <row r="92" spans="1:29">
      <c r="A92" s="41"/>
      <c r="B92" s="13"/>
      <c r="H92" s="40"/>
      <c r="I92" s="40" t="s">
        <v>119</v>
      </c>
      <c r="J92" s="40"/>
      <c r="K92" s="40"/>
      <c r="L92" s="46" t="s">
        <v>115</v>
      </c>
      <c r="M92" s="55"/>
      <c r="O92" s="149" t="s">
        <v>133</v>
      </c>
      <c r="P92" s="40"/>
      <c r="Q92" s="40"/>
      <c r="R92" s="40"/>
      <c r="S92" s="40"/>
      <c r="T92" s="40"/>
      <c r="U92" s="40"/>
      <c r="V92" s="40" t="s">
        <v>108</v>
      </c>
      <c r="W92" s="40" t="s">
        <v>136</v>
      </c>
      <c r="X92" s="40"/>
      <c r="Y92" s="40"/>
      <c r="Z92" s="40" t="s">
        <v>123</v>
      </c>
      <c r="AA92" s="40"/>
      <c r="AB92" s="40"/>
      <c r="AC92" s="40"/>
    </row>
    <row r="93" spans="1:29">
      <c r="A93" s="41"/>
      <c r="B93" s="13"/>
      <c r="H93" s="40"/>
      <c r="I93" s="40" t="s">
        <v>120</v>
      </c>
      <c r="J93" s="40"/>
      <c r="K93" s="40"/>
      <c r="L93" s="46" t="s">
        <v>116</v>
      </c>
      <c r="M93" s="55"/>
      <c r="O93" s="149" t="s">
        <v>134</v>
      </c>
      <c r="P93" s="40"/>
      <c r="Q93" s="40"/>
      <c r="R93" s="40"/>
      <c r="S93" s="40"/>
      <c r="T93" s="40"/>
      <c r="U93" s="40"/>
      <c r="V93" s="40" t="s">
        <v>109</v>
      </c>
      <c r="W93" s="40" t="s">
        <v>137</v>
      </c>
      <c r="X93" s="40"/>
      <c r="Y93" s="40"/>
      <c r="Z93" s="40" t="s">
        <v>250</v>
      </c>
      <c r="AA93" s="40"/>
      <c r="AB93" s="40"/>
      <c r="AC93" s="40"/>
    </row>
    <row r="94" spans="1:29">
      <c r="A94" s="41"/>
      <c r="B94" s="13"/>
      <c r="H94" s="40"/>
      <c r="I94" s="40" t="s">
        <v>121</v>
      </c>
      <c r="J94" s="40"/>
      <c r="K94" s="40"/>
      <c r="L94" s="46" t="s">
        <v>117</v>
      </c>
      <c r="M94" s="55"/>
      <c r="O94" s="149" t="s">
        <v>135</v>
      </c>
      <c r="P94" s="40"/>
      <c r="Q94" s="40"/>
      <c r="R94" s="40"/>
      <c r="S94" s="40"/>
      <c r="T94" s="40"/>
      <c r="U94" s="40"/>
      <c r="V94" s="40" t="s">
        <v>113</v>
      </c>
      <c r="W94" s="40" t="s">
        <v>138</v>
      </c>
      <c r="X94" s="40"/>
      <c r="Y94" s="40"/>
      <c r="Z94" s="40" t="s">
        <v>125</v>
      </c>
      <c r="AA94" s="40"/>
      <c r="AB94" s="40"/>
      <c r="AC94" s="40"/>
    </row>
    <row r="95" spans="1:29">
      <c r="A95" s="41"/>
      <c r="B95" s="13"/>
      <c r="H95" s="40"/>
      <c r="I95" s="40" t="s">
        <v>122</v>
      </c>
      <c r="J95" s="40"/>
      <c r="K95" s="40"/>
      <c r="L95" s="46" t="s">
        <v>118</v>
      </c>
      <c r="M95" s="55"/>
      <c r="O95" s="149" t="s">
        <v>219</v>
      </c>
      <c r="P95" s="40"/>
      <c r="Q95" s="40"/>
      <c r="R95" s="40"/>
      <c r="S95" s="40"/>
      <c r="T95" s="40"/>
      <c r="U95" s="40"/>
      <c r="V95" s="40" t="s">
        <v>115</v>
      </c>
      <c r="W95" s="40" t="s">
        <v>139</v>
      </c>
      <c r="X95" s="40"/>
      <c r="Y95" s="40"/>
      <c r="Z95" s="40" t="s">
        <v>126</v>
      </c>
      <c r="AA95" s="40"/>
      <c r="AB95" s="40"/>
      <c r="AC95" s="40"/>
    </row>
    <row r="96" spans="1:29">
      <c r="A96" s="41"/>
      <c r="B96" s="13"/>
      <c r="H96" s="40"/>
      <c r="I96" s="40" t="s">
        <v>123</v>
      </c>
      <c r="J96" s="40"/>
      <c r="K96" s="40"/>
      <c r="L96" s="46" t="s">
        <v>119</v>
      </c>
      <c r="M96" s="55"/>
      <c r="O96" s="149" t="s">
        <v>137</v>
      </c>
      <c r="P96" s="40"/>
      <c r="Q96" s="40"/>
      <c r="R96" s="40"/>
      <c r="S96" s="40"/>
      <c r="T96" s="40"/>
      <c r="U96" s="40"/>
      <c r="V96" s="40" t="s">
        <v>244</v>
      </c>
      <c r="W96" s="40" t="s">
        <v>597</v>
      </c>
      <c r="X96" s="40"/>
      <c r="Y96" s="40"/>
      <c r="Z96" s="40" t="s">
        <v>127</v>
      </c>
      <c r="AA96" s="40"/>
      <c r="AB96" s="40"/>
      <c r="AC96" s="40"/>
    </row>
    <row r="97" spans="1:29">
      <c r="A97" s="41"/>
      <c r="B97" s="13"/>
      <c r="H97" s="40"/>
      <c r="I97" s="40" t="s">
        <v>124</v>
      </c>
      <c r="J97" s="40"/>
      <c r="K97" s="40"/>
      <c r="L97" s="46" t="s">
        <v>120</v>
      </c>
      <c r="M97" s="55"/>
      <c r="O97" s="149" t="s">
        <v>138</v>
      </c>
      <c r="P97" s="40"/>
      <c r="Q97" s="40"/>
      <c r="R97" s="40"/>
      <c r="S97" s="40"/>
      <c r="T97" s="40"/>
      <c r="U97" s="40"/>
      <c r="V97" s="40" t="s">
        <v>118</v>
      </c>
      <c r="X97" s="40"/>
      <c r="Y97" s="40"/>
      <c r="Z97" s="40" t="s">
        <v>128</v>
      </c>
      <c r="AA97" s="40"/>
      <c r="AB97" s="40"/>
      <c r="AC97" s="40"/>
    </row>
    <row r="98" spans="1:29">
      <c r="A98" s="41"/>
      <c r="B98" s="13"/>
      <c r="H98" s="40"/>
      <c r="I98" s="40" t="s">
        <v>125</v>
      </c>
      <c r="J98" s="40"/>
      <c r="K98" s="40"/>
      <c r="L98" s="46" t="s">
        <v>209</v>
      </c>
      <c r="M98" s="55"/>
      <c r="O98" s="149" t="s">
        <v>139</v>
      </c>
      <c r="P98" s="40"/>
      <c r="Q98" s="40"/>
      <c r="R98" s="40"/>
      <c r="S98" s="40"/>
      <c r="T98" s="40"/>
      <c r="U98" s="40"/>
      <c r="V98" s="40" t="s">
        <v>119</v>
      </c>
      <c r="X98" s="40"/>
      <c r="Y98" s="40"/>
      <c r="Z98" s="40" t="s">
        <v>129</v>
      </c>
      <c r="AA98" s="40"/>
      <c r="AB98" s="40"/>
      <c r="AC98" s="40"/>
    </row>
    <row r="99" spans="1:29">
      <c r="A99" s="41"/>
      <c r="B99" s="13"/>
      <c r="H99" s="40"/>
      <c r="I99" s="40" t="s">
        <v>126</v>
      </c>
      <c r="J99" s="40"/>
      <c r="K99" s="40"/>
      <c r="L99" s="46" t="s">
        <v>210</v>
      </c>
      <c r="M99" s="55"/>
      <c r="O99" s="149" t="s">
        <v>140</v>
      </c>
      <c r="P99" s="40"/>
      <c r="Q99" s="40"/>
      <c r="R99" s="40"/>
      <c r="S99" s="40"/>
      <c r="T99" s="40"/>
      <c r="U99" s="40"/>
      <c r="V99" s="40" t="s">
        <v>120</v>
      </c>
      <c r="X99" s="40"/>
      <c r="Y99" s="40"/>
      <c r="Z99" s="40" t="s">
        <v>131</v>
      </c>
      <c r="AA99" s="40"/>
      <c r="AB99" s="40"/>
      <c r="AC99" s="40"/>
    </row>
    <row r="100" spans="1:29">
      <c r="A100" s="41"/>
      <c r="B100" s="13"/>
      <c r="H100" s="40" t="s">
        <v>468</v>
      </c>
      <c r="I100" s="40" t="s">
        <v>127</v>
      </c>
      <c r="J100" s="40"/>
      <c r="K100" s="40"/>
      <c r="L100" s="46" t="s">
        <v>121</v>
      </c>
      <c r="M100" s="55"/>
      <c r="O100" s="40" t="s">
        <v>141</v>
      </c>
      <c r="P100" s="40"/>
      <c r="Q100" s="40"/>
      <c r="R100" s="40"/>
      <c r="S100" s="40"/>
      <c r="T100" s="40"/>
      <c r="U100" s="40"/>
      <c r="V100" s="40" t="s">
        <v>121</v>
      </c>
      <c r="X100" s="40"/>
      <c r="Y100" s="40"/>
      <c r="Z100" s="40" t="s">
        <v>132</v>
      </c>
      <c r="AA100" s="40"/>
      <c r="AB100" s="40"/>
      <c r="AC100" s="40"/>
    </row>
    <row r="101" spans="1:29">
      <c r="A101" s="41"/>
      <c r="B101" s="13"/>
      <c r="H101" s="40"/>
      <c r="I101" s="40" t="s">
        <v>128</v>
      </c>
      <c r="J101" s="40"/>
      <c r="K101" s="40"/>
      <c r="L101" s="46" t="s">
        <v>122</v>
      </c>
      <c r="M101" s="55"/>
      <c r="O101" s="40"/>
      <c r="P101" s="40"/>
      <c r="Q101" s="40"/>
      <c r="R101" s="40"/>
      <c r="S101" s="40"/>
      <c r="T101" s="40"/>
      <c r="U101" s="40"/>
      <c r="V101" s="40" t="s">
        <v>122</v>
      </c>
      <c r="W101" s="156" t="s">
        <v>612</v>
      </c>
      <c r="X101" s="40"/>
      <c r="Y101" s="40"/>
      <c r="Z101" s="40" t="s">
        <v>133</v>
      </c>
      <c r="AA101" s="40"/>
      <c r="AB101" s="40"/>
      <c r="AC101" s="40"/>
    </row>
    <row r="102" spans="1:29">
      <c r="A102" s="41"/>
      <c r="B102" s="13"/>
      <c r="H102" s="40"/>
      <c r="I102" s="40" t="s">
        <v>129</v>
      </c>
      <c r="J102" s="40"/>
      <c r="K102" s="40"/>
      <c r="L102" s="46" t="s">
        <v>123</v>
      </c>
      <c r="M102" s="55"/>
      <c r="O102" s="40"/>
      <c r="P102" s="40"/>
      <c r="Q102" s="40"/>
      <c r="R102" s="40"/>
      <c r="S102" s="40"/>
      <c r="T102" s="40"/>
      <c r="U102" s="40"/>
      <c r="V102" s="40" t="s">
        <v>123</v>
      </c>
      <c r="W102" s="156" t="s">
        <v>613</v>
      </c>
      <c r="X102" s="40"/>
      <c r="Y102" s="40"/>
      <c r="Z102" s="40" t="s">
        <v>134</v>
      </c>
      <c r="AA102" s="40"/>
      <c r="AB102" s="40"/>
      <c r="AC102" s="40"/>
    </row>
    <row r="103" spans="1:29">
      <c r="A103" s="41"/>
      <c r="B103" s="13"/>
      <c r="H103" s="40"/>
      <c r="I103" s="40" t="s">
        <v>130</v>
      </c>
      <c r="J103" s="40"/>
      <c r="K103" s="40"/>
      <c r="L103" s="46" t="s">
        <v>124</v>
      </c>
      <c r="M103" s="55"/>
      <c r="O103" s="40"/>
      <c r="P103" s="40"/>
      <c r="Q103" s="40"/>
      <c r="R103" s="40"/>
      <c r="S103" s="40"/>
      <c r="T103" s="40"/>
      <c r="U103" s="40"/>
      <c r="V103" s="40" t="s">
        <v>124</v>
      </c>
      <c r="W103" s="156" t="s">
        <v>614</v>
      </c>
      <c r="X103" s="40"/>
      <c r="Y103" s="40"/>
      <c r="Z103" s="40" t="s">
        <v>135</v>
      </c>
      <c r="AA103" s="40"/>
      <c r="AB103" s="40"/>
      <c r="AC103" s="40"/>
    </row>
    <row r="104" spans="1:29">
      <c r="A104" s="41"/>
      <c r="B104" s="13"/>
      <c r="H104" s="40"/>
      <c r="I104" s="40" t="s">
        <v>131</v>
      </c>
      <c r="J104" s="40"/>
      <c r="K104" s="40"/>
      <c r="L104" s="46" t="s">
        <v>125</v>
      </c>
      <c r="M104" s="55"/>
      <c r="O104" s="40"/>
      <c r="P104" s="40"/>
      <c r="Q104" s="40"/>
      <c r="R104" s="40"/>
      <c r="S104" s="40"/>
      <c r="T104" s="40"/>
      <c r="U104" s="40"/>
      <c r="V104" s="40" t="s">
        <v>125</v>
      </c>
      <c r="W104" s="154" t="s">
        <v>615</v>
      </c>
      <c r="X104" s="40"/>
      <c r="Y104" s="40"/>
      <c r="Z104" s="40" t="s">
        <v>284</v>
      </c>
      <c r="AA104" s="40"/>
      <c r="AB104" s="40"/>
      <c r="AC104" s="40"/>
    </row>
    <row r="105" spans="1:29">
      <c r="A105" s="41"/>
      <c r="B105" s="13"/>
      <c r="H105" s="40"/>
      <c r="I105" s="40" t="s">
        <v>132</v>
      </c>
      <c r="J105" s="40"/>
      <c r="K105" s="40"/>
      <c r="L105" s="46" t="s">
        <v>126</v>
      </c>
      <c r="M105" s="55"/>
      <c r="O105" s="40"/>
      <c r="P105" s="40"/>
      <c r="Q105" s="40"/>
      <c r="R105" s="40"/>
      <c r="S105" s="40"/>
      <c r="T105" s="40"/>
      <c r="U105" s="40"/>
      <c r="V105" s="40" t="s">
        <v>132</v>
      </c>
      <c r="W105" s="154" t="s">
        <v>616</v>
      </c>
      <c r="X105" s="40"/>
      <c r="Y105" s="40"/>
      <c r="Z105" s="40" t="s">
        <v>190</v>
      </c>
      <c r="AA105" s="40"/>
      <c r="AB105" s="40"/>
      <c r="AC105" s="40"/>
    </row>
    <row r="106" spans="1:29">
      <c r="A106" s="41"/>
      <c r="B106" s="13"/>
      <c r="H106" s="40"/>
      <c r="I106" s="40" t="s">
        <v>133</v>
      </c>
      <c r="J106" s="40"/>
      <c r="K106" s="40"/>
      <c r="L106" s="46" t="s">
        <v>127</v>
      </c>
      <c r="M106" s="55"/>
      <c r="O106" s="40"/>
      <c r="P106" s="40"/>
      <c r="Q106" s="40"/>
      <c r="R106" s="40"/>
      <c r="S106" s="40"/>
      <c r="T106" s="40"/>
      <c r="U106" s="40"/>
      <c r="V106" s="40" t="s">
        <v>245</v>
      </c>
      <c r="W106" s="154" t="s">
        <v>617</v>
      </c>
      <c r="X106" s="40"/>
      <c r="Y106" s="40"/>
      <c r="Z106" s="40" t="s">
        <v>137</v>
      </c>
      <c r="AA106" s="40"/>
      <c r="AB106" s="40"/>
      <c r="AC106" s="40"/>
    </row>
    <row r="107" spans="1:29">
      <c r="A107" s="41"/>
      <c r="B107" s="13"/>
      <c r="H107" s="40"/>
      <c r="I107" s="40" t="s">
        <v>134</v>
      </c>
      <c r="J107" s="40"/>
      <c r="K107" s="40"/>
      <c r="L107" s="46" t="s">
        <v>128</v>
      </c>
      <c r="M107" s="55"/>
      <c r="O107" s="40"/>
      <c r="P107" s="40"/>
      <c r="Q107" s="40"/>
      <c r="R107" s="40"/>
      <c r="S107" s="40"/>
      <c r="T107" s="40"/>
      <c r="U107" s="40"/>
      <c r="V107" s="40" t="s">
        <v>133</v>
      </c>
      <c r="W107" s="154" t="s">
        <v>618</v>
      </c>
      <c r="X107" s="40"/>
      <c r="Y107" s="40"/>
      <c r="Z107" s="40" t="s">
        <v>139</v>
      </c>
      <c r="AA107" s="40"/>
      <c r="AB107" s="40"/>
      <c r="AC107" s="40"/>
    </row>
    <row r="108" spans="1:29">
      <c r="A108" s="41"/>
      <c r="B108" s="13"/>
      <c r="H108" s="40"/>
      <c r="I108" s="40" t="s">
        <v>135</v>
      </c>
      <c r="J108" s="40"/>
      <c r="K108" s="40"/>
      <c r="L108" s="46" t="s">
        <v>129</v>
      </c>
      <c r="M108" s="55"/>
      <c r="O108" s="40"/>
      <c r="P108" s="40"/>
      <c r="Q108" s="40"/>
      <c r="R108" s="40"/>
      <c r="S108" s="40"/>
      <c r="T108" s="40"/>
      <c r="U108" s="40"/>
      <c r="V108" s="40" t="s">
        <v>135</v>
      </c>
      <c r="W108" s="154" t="s">
        <v>619</v>
      </c>
      <c r="X108" s="40"/>
      <c r="Y108" s="40"/>
      <c r="Z108" s="40" t="s">
        <v>140</v>
      </c>
      <c r="AA108" s="40"/>
      <c r="AB108" s="40"/>
      <c r="AC108" s="40"/>
    </row>
    <row r="109" spans="1:29">
      <c r="A109" s="41"/>
      <c r="B109" s="13"/>
      <c r="H109" s="40"/>
      <c r="I109" s="40" t="s">
        <v>136</v>
      </c>
      <c r="J109" s="40"/>
      <c r="K109" s="40"/>
      <c r="L109" s="46" t="s">
        <v>211</v>
      </c>
      <c r="M109" s="55"/>
      <c r="O109" s="40"/>
      <c r="P109" s="40"/>
      <c r="Q109" s="40"/>
      <c r="R109" s="40"/>
      <c r="S109" s="40"/>
      <c r="T109" s="40"/>
      <c r="U109" s="40"/>
      <c r="V109" s="40" t="s">
        <v>136</v>
      </c>
      <c r="W109" s="154" t="s">
        <v>622</v>
      </c>
      <c r="X109" s="40"/>
      <c r="Y109" s="40"/>
      <c r="Z109" s="40"/>
      <c r="AA109" s="40"/>
      <c r="AB109" s="40"/>
      <c r="AC109" s="40"/>
    </row>
    <row r="110" spans="1:29">
      <c r="A110" s="41"/>
      <c r="B110" s="13"/>
      <c r="H110" s="40"/>
      <c r="I110" s="40" t="s">
        <v>137</v>
      </c>
      <c r="J110" s="40"/>
      <c r="K110" s="40"/>
      <c r="L110" s="46" t="s">
        <v>212</v>
      </c>
      <c r="M110" s="55"/>
      <c r="O110" s="40"/>
      <c r="P110" s="40"/>
      <c r="Q110" s="40"/>
      <c r="R110" s="40"/>
      <c r="S110" s="40"/>
      <c r="T110" s="40"/>
      <c r="U110" s="40"/>
      <c r="V110" s="40" t="s">
        <v>138</v>
      </c>
      <c r="W110" s="154" t="s">
        <v>623</v>
      </c>
      <c r="X110" s="40"/>
      <c r="Y110" s="40"/>
      <c r="Z110" s="40"/>
      <c r="AA110" s="40"/>
      <c r="AB110" s="40"/>
      <c r="AC110" s="40"/>
    </row>
    <row r="111" spans="1:29">
      <c r="A111" s="41"/>
      <c r="B111" s="13"/>
      <c r="H111" s="40"/>
      <c r="I111" s="40" t="s">
        <v>138</v>
      </c>
      <c r="J111" s="40"/>
      <c r="K111" s="40"/>
      <c r="L111" s="46" t="s">
        <v>131</v>
      </c>
      <c r="M111" s="55"/>
      <c r="O111" s="40"/>
      <c r="P111" s="40"/>
      <c r="Q111" s="40"/>
      <c r="R111" s="40"/>
      <c r="S111" s="40"/>
      <c r="T111" s="40"/>
      <c r="U111" s="40"/>
      <c r="V111" s="40" t="s">
        <v>139</v>
      </c>
      <c r="W111" s="154" t="s">
        <v>625</v>
      </c>
      <c r="X111" s="40"/>
      <c r="Y111" s="40"/>
      <c r="Z111" s="40"/>
      <c r="AA111" s="40"/>
      <c r="AB111" s="40"/>
      <c r="AC111" s="40"/>
    </row>
    <row r="112" spans="1:29">
      <c r="A112" s="41"/>
      <c r="B112" s="13"/>
      <c r="H112" s="40"/>
      <c r="I112" s="40" t="s">
        <v>139</v>
      </c>
      <c r="J112" s="40"/>
      <c r="K112" s="40"/>
      <c r="L112" s="46" t="s">
        <v>132</v>
      </c>
      <c r="M112" s="55"/>
      <c r="O112" s="40"/>
      <c r="P112" s="40"/>
      <c r="Q112" s="40"/>
      <c r="R112" s="40"/>
      <c r="S112" s="40"/>
      <c r="T112" s="40"/>
      <c r="U112" s="40"/>
      <c r="V112" s="40" t="s">
        <v>597</v>
      </c>
      <c r="W112" s="154" t="s">
        <v>626</v>
      </c>
      <c r="X112" s="40"/>
      <c r="Y112" s="40"/>
      <c r="Z112" s="40"/>
      <c r="AA112" s="40"/>
      <c r="AB112" s="40"/>
      <c r="AC112" s="40"/>
    </row>
    <row r="113" spans="1:29">
      <c r="A113" s="41"/>
      <c r="B113" s="13"/>
      <c r="H113" s="40"/>
      <c r="I113" s="40" t="s">
        <v>140</v>
      </c>
      <c r="J113" s="40"/>
      <c r="K113" s="40"/>
      <c r="L113" s="46" t="s">
        <v>133</v>
      </c>
      <c r="M113" s="55"/>
      <c r="O113" s="40"/>
      <c r="P113" s="40"/>
      <c r="Q113" s="40"/>
      <c r="R113" s="40"/>
      <c r="S113" s="40"/>
      <c r="T113" s="40"/>
      <c r="U113" s="40"/>
      <c r="V113" s="40"/>
      <c r="W113" s="154" t="s">
        <v>627</v>
      </c>
      <c r="X113" s="40"/>
      <c r="Y113" s="40"/>
      <c r="Z113" s="40"/>
      <c r="AA113" s="40"/>
      <c r="AB113" s="40"/>
      <c r="AC113" s="40"/>
    </row>
    <row r="114" spans="1:29">
      <c r="A114" s="41" t="s">
        <v>468</v>
      </c>
      <c r="B114" s="13"/>
      <c r="H114" s="40"/>
      <c r="I114" s="40" t="s">
        <v>141</v>
      </c>
      <c r="J114" s="40"/>
      <c r="K114" s="40"/>
      <c r="L114" s="46" t="s">
        <v>134</v>
      </c>
      <c r="M114" s="55"/>
      <c r="O114" s="40"/>
      <c r="P114" s="40"/>
      <c r="Q114" s="40"/>
      <c r="R114" s="40"/>
      <c r="S114" s="40"/>
      <c r="T114" s="40"/>
      <c r="U114" s="40"/>
      <c r="V114" s="40"/>
      <c r="W114" s="154" t="s">
        <v>629</v>
      </c>
      <c r="X114" s="40"/>
      <c r="Y114" s="40"/>
      <c r="Z114" s="40"/>
      <c r="AA114" s="40"/>
      <c r="AB114" s="40"/>
      <c r="AC114" s="40"/>
    </row>
    <row r="115" spans="1:29">
      <c r="A115" s="41"/>
      <c r="B115" s="13"/>
      <c r="H115" s="40"/>
      <c r="I115" s="40" t="s">
        <v>597</v>
      </c>
      <c r="J115" s="40"/>
      <c r="K115" s="40"/>
      <c r="L115" s="46" t="s">
        <v>135</v>
      </c>
      <c r="M115" s="55"/>
      <c r="O115" s="40"/>
      <c r="P115" s="40"/>
      <c r="Q115" s="40"/>
      <c r="R115" s="40"/>
      <c r="S115" s="40"/>
      <c r="T115" s="40"/>
      <c r="U115" s="40"/>
      <c r="V115" s="40"/>
      <c r="W115" s="154" t="s">
        <v>630</v>
      </c>
      <c r="X115" s="40"/>
      <c r="Y115" s="40"/>
      <c r="Z115" s="40"/>
      <c r="AA115" s="40"/>
      <c r="AB115" s="40"/>
      <c r="AC115" s="40"/>
    </row>
    <row r="116" spans="1:29">
      <c r="A116" s="41"/>
      <c r="B116" s="13"/>
      <c r="H116" s="40"/>
      <c r="I116" s="40"/>
      <c r="J116" s="40"/>
      <c r="K116" s="40"/>
      <c r="L116" s="46" t="s">
        <v>137</v>
      </c>
      <c r="M116" s="55"/>
      <c r="O116" s="40"/>
      <c r="P116" s="40"/>
      <c r="Q116" s="40"/>
      <c r="R116" s="40"/>
      <c r="S116" s="40"/>
      <c r="T116" s="40"/>
      <c r="U116" s="40"/>
      <c r="V116" s="40"/>
      <c r="W116" s="154" t="s">
        <v>632</v>
      </c>
      <c r="X116" s="40"/>
      <c r="Y116" s="40"/>
      <c r="Z116" s="40"/>
      <c r="AA116" s="40"/>
      <c r="AB116" s="40"/>
      <c r="AC116" s="40"/>
    </row>
    <row r="117" spans="1:29">
      <c r="A117" s="41"/>
      <c r="B117" s="13"/>
      <c r="H117" s="40"/>
      <c r="I117" s="40"/>
      <c r="J117" s="40"/>
      <c r="K117" s="40"/>
      <c r="L117" s="46" t="s">
        <v>138</v>
      </c>
      <c r="M117" s="55"/>
      <c r="O117" s="40"/>
      <c r="P117" s="40"/>
      <c r="Q117" s="40"/>
      <c r="R117" s="40"/>
      <c r="S117" s="40"/>
      <c r="T117" s="40"/>
      <c r="U117" s="40"/>
      <c r="V117" s="40"/>
      <c r="W117" s="154" t="s">
        <v>633</v>
      </c>
      <c r="X117" s="40"/>
      <c r="Y117" s="40"/>
      <c r="Z117" s="40"/>
      <c r="AA117" s="40"/>
      <c r="AB117" s="40"/>
      <c r="AC117" s="40"/>
    </row>
    <row r="118" spans="1:29">
      <c r="A118" s="41"/>
      <c r="B118" s="13"/>
      <c r="H118" s="40"/>
      <c r="I118" s="40"/>
      <c r="J118" s="40"/>
      <c r="K118" s="40"/>
      <c r="L118" s="46" t="s">
        <v>139</v>
      </c>
      <c r="M118" s="55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</row>
    <row r="119" spans="1:29">
      <c r="A119" s="41"/>
      <c r="B119" s="13"/>
      <c r="H119" s="40"/>
      <c r="I119" s="40"/>
      <c r="J119" s="40"/>
      <c r="K119" s="40"/>
      <c r="L119" s="46" t="s">
        <v>140</v>
      </c>
      <c r="M119" s="55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</row>
    <row r="120" spans="1:29">
      <c r="A120" s="41"/>
      <c r="B120" s="13"/>
      <c r="H120" s="40"/>
      <c r="I120" s="40"/>
      <c r="J120" s="40"/>
      <c r="K120" s="40"/>
      <c r="L120" s="46" t="s">
        <v>141</v>
      </c>
      <c r="M120" s="55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</row>
    <row r="121" spans="1:29">
      <c r="A121" s="41"/>
      <c r="B121" s="13"/>
      <c r="H121" s="40"/>
      <c r="I121" s="40"/>
      <c r="J121" s="40"/>
      <c r="K121" s="40"/>
      <c r="L121" s="46" t="s">
        <v>597</v>
      </c>
      <c r="M121" s="55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</row>
    <row r="122" spans="1:29">
      <c r="A122" s="41"/>
      <c r="B122" s="13"/>
      <c r="H122" s="45"/>
      <c r="I122" s="40"/>
      <c r="J122" s="45"/>
      <c r="K122" s="45"/>
      <c r="L122" s="40"/>
      <c r="M122" s="55"/>
      <c r="O122" s="40"/>
      <c r="P122" s="40"/>
      <c r="Q122" s="45"/>
      <c r="R122" s="40"/>
      <c r="S122" s="40"/>
      <c r="T122" s="40"/>
      <c r="U122" s="40"/>
      <c r="V122" s="45"/>
      <c r="W122" s="40"/>
      <c r="X122" s="45"/>
      <c r="Y122" s="45"/>
      <c r="Z122" s="40"/>
      <c r="AA122" s="45"/>
      <c r="AB122" s="45"/>
      <c r="AC122" s="40"/>
    </row>
    <row r="123" spans="1:29">
      <c r="A123" s="41"/>
      <c r="B123" s="13"/>
      <c r="H123" s="45"/>
      <c r="I123" s="45"/>
      <c r="J123" s="45"/>
      <c r="K123" s="45"/>
      <c r="L123" s="40"/>
      <c r="M123" s="55"/>
      <c r="O123" s="45"/>
      <c r="P123" s="40"/>
      <c r="Q123" s="45"/>
      <c r="R123" s="40"/>
      <c r="S123" s="40"/>
      <c r="T123" s="45"/>
      <c r="U123" s="40"/>
      <c r="V123" s="45"/>
      <c r="W123" s="45"/>
      <c r="X123" s="45"/>
      <c r="Y123" s="45"/>
      <c r="Z123" s="45"/>
      <c r="AA123" s="45"/>
      <c r="AB123" s="45"/>
      <c r="AC123" s="40"/>
    </row>
    <row r="124" spans="1:29">
      <c r="A124" s="41"/>
      <c r="B124" s="13"/>
      <c r="H124" s="45"/>
      <c r="I124" s="45"/>
      <c r="J124" s="45"/>
      <c r="K124" s="45"/>
      <c r="L124" s="40"/>
      <c r="M124" s="40"/>
      <c r="O124" s="45"/>
      <c r="P124" s="40"/>
      <c r="Q124" s="45"/>
      <c r="R124" s="45"/>
      <c r="S124" s="45"/>
      <c r="T124" s="45"/>
      <c r="U124" s="40"/>
      <c r="V124" s="45"/>
      <c r="W124" s="45"/>
      <c r="X124" s="45"/>
      <c r="Y124" s="45"/>
      <c r="Z124" s="45"/>
      <c r="AA124" s="45"/>
      <c r="AB124" s="45"/>
      <c r="AC124" s="40"/>
    </row>
    <row r="125" spans="1:29">
      <c r="A125" s="41"/>
      <c r="B125" s="13"/>
      <c r="H125" s="45"/>
      <c r="I125" s="45"/>
      <c r="J125" s="45"/>
      <c r="K125" s="45"/>
      <c r="L125" s="40"/>
      <c r="M125" s="40"/>
      <c r="O125" s="45"/>
      <c r="P125" s="40"/>
      <c r="Q125" s="45"/>
      <c r="R125" s="45"/>
      <c r="S125" s="45"/>
      <c r="T125" s="45"/>
      <c r="U125" s="40"/>
      <c r="V125" s="45"/>
      <c r="W125" s="45"/>
      <c r="X125" s="45"/>
      <c r="Y125" s="45"/>
      <c r="Z125" s="45"/>
      <c r="AA125" s="45"/>
      <c r="AB125" s="45"/>
      <c r="AC125" s="45"/>
    </row>
    <row r="126" spans="1:29">
      <c r="A126" s="41"/>
      <c r="B126" s="13"/>
      <c r="H126" s="45"/>
      <c r="I126" s="45"/>
      <c r="J126" s="45"/>
      <c r="K126" s="45"/>
      <c r="L126" s="40"/>
      <c r="M126" s="40"/>
      <c r="O126" s="45"/>
      <c r="P126" s="40"/>
      <c r="Q126" s="45"/>
      <c r="R126" s="45"/>
      <c r="S126" s="45"/>
      <c r="T126" s="45"/>
      <c r="U126" s="40"/>
      <c r="V126" s="45"/>
      <c r="W126" s="45"/>
      <c r="X126" s="45"/>
      <c r="Y126" s="45"/>
      <c r="Z126" s="45"/>
      <c r="AA126" s="45"/>
      <c r="AB126" s="45"/>
      <c r="AC126" s="45"/>
    </row>
    <row r="127" spans="1:29">
      <c r="A127" s="41"/>
      <c r="B127" s="13"/>
      <c r="H127" s="45"/>
      <c r="I127" s="45"/>
      <c r="J127" s="45"/>
      <c r="K127" s="45"/>
      <c r="L127" s="40"/>
      <c r="M127" s="40"/>
      <c r="O127" s="45"/>
      <c r="P127" s="40"/>
      <c r="Q127" s="45"/>
      <c r="R127" s="45"/>
      <c r="S127" s="45"/>
      <c r="T127" s="45"/>
      <c r="U127" s="40"/>
      <c r="V127" s="45"/>
      <c r="W127" s="45"/>
      <c r="X127" s="45"/>
      <c r="Y127" s="45"/>
      <c r="Z127" s="45"/>
      <c r="AA127" s="45"/>
      <c r="AB127" s="45"/>
      <c r="AC127" s="45"/>
    </row>
    <row r="128" spans="1:29">
      <c r="A128" s="41"/>
      <c r="B128" s="13"/>
      <c r="H128" s="45"/>
      <c r="I128" s="45"/>
      <c r="J128" s="45"/>
      <c r="K128" s="45"/>
      <c r="L128" s="40"/>
      <c r="M128" s="40"/>
      <c r="O128" s="45"/>
      <c r="P128" s="40"/>
      <c r="Q128" s="45"/>
      <c r="R128" s="45"/>
      <c r="S128" s="45"/>
      <c r="T128" s="45"/>
      <c r="U128" s="40"/>
      <c r="V128" s="45"/>
      <c r="W128" s="45"/>
      <c r="X128" s="45"/>
      <c r="Y128" s="45"/>
      <c r="Z128" s="45"/>
      <c r="AA128" s="45"/>
      <c r="AB128" s="45"/>
      <c r="AC128" s="45"/>
    </row>
    <row r="129" spans="1:29">
      <c r="A129" s="41"/>
      <c r="B129" s="13"/>
      <c r="H129" s="45"/>
      <c r="I129" s="45"/>
      <c r="J129" s="45"/>
      <c r="K129" s="45"/>
      <c r="L129" s="40"/>
      <c r="M129" s="40"/>
      <c r="O129" s="45"/>
      <c r="P129" s="45"/>
      <c r="Q129" s="45"/>
      <c r="R129" s="45"/>
      <c r="S129" s="45"/>
      <c r="T129" s="45"/>
      <c r="U129" s="40"/>
      <c r="V129" s="45"/>
      <c r="W129" s="45"/>
      <c r="X129" s="45"/>
      <c r="Y129" s="45"/>
      <c r="Z129" s="45"/>
      <c r="AA129" s="45"/>
      <c r="AB129" s="45"/>
      <c r="AC129" s="45"/>
    </row>
    <row r="130" spans="1:29">
      <c r="A130" s="41"/>
      <c r="B130" s="13"/>
      <c r="H130" s="45"/>
      <c r="I130" s="45"/>
      <c r="J130" s="45"/>
      <c r="K130" s="45"/>
      <c r="L130" s="40"/>
      <c r="M130" s="40"/>
      <c r="O130" s="45"/>
      <c r="P130" s="45"/>
      <c r="Q130" s="45"/>
      <c r="R130" s="45"/>
      <c r="S130" s="45"/>
      <c r="T130" s="45"/>
      <c r="U130" s="40"/>
      <c r="V130" s="45"/>
      <c r="W130" s="45"/>
      <c r="X130" s="45"/>
      <c r="Y130" s="45"/>
      <c r="Z130" s="45"/>
      <c r="AA130" s="45"/>
      <c r="AB130" s="45"/>
      <c r="AC130" s="45"/>
    </row>
    <row r="131" spans="1:29">
      <c r="A131" s="41"/>
      <c r="B131" s="13"/>
      <c r="H131" s="45"/>
      <c r="I131" s="45"/>
      <c r="J131" s="45"/>
      <c r="K131" s="45"/>
      <c r="L131" s="40"/>
      <c r="M131" s="40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</row>
    <row r="132" spans="1:29">
      <c r="A132" s="41"/>
      <c r="B132" s="13"/>
      <c r="H132" s="45"/>
      <c r="I132" s="45"/>
      <c r="J132" s="45"/>
      <c r="K132" s="45"/>
      <c r="L132" s="40"/>
      <c r="M132" s="40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</row>
    <row r="133" spans="1:29">
      <c r="A133" s="41"/>
      <c r="B133" s="13"/>
      <c r="H133" s="45"/>
      <c r="I133" s="45"/>
      <c r="J133" s="45"/>
      <c r="K133" s="45"/>
      <c r="L133" s="40"/>
      <c r="M133" s="40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</row>
    <row r="134" spans="1:29">
      <c r="A134" s="41"/>
      <c r="B134" s="13"/>
      <c r="H134" s="45"/>
      <c r="I134" s="45"/>
      <c r="J134" s="45"/>
      <c r="K134" s="45"/>
      <c r="L134" s="40"/>
      <c r="M134" s="40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</row>
    <row r="135" spans="1:29">
      <c r="A135" s="41"/>
      <c r="B135" s="13"/>
      <c r="H135" s="45"/>
      <c r="I135" s="45"/>
      <c r="J135" s="45"/>
      <c r="K135" s="45"/>
      <c r="L135" s="40"/>
      <c r="M135" s="40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</row>
    <row r="136" spans="1:29">
      <c r="A136" s="41"/>
      <c r="B136" s="13"/>
      <c r="H136" s="45"/>
      <c r="I136" s="45"/>
      <c r="J136" s="45"/>
      <c r="K136" s="45"/>
      <c r="L136" s="40"/>
      <c r="M136" s="40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</row>
    <row r="137" spans="1:29">
      <c r="A137" s="41"/>
      <c r="B137" s="13"/>
      <c r="H137" s="45"/>
      <c r="I137" s="45"/>
      <c r="J137" s="45"/>
      <c r="K137" s="45"/>
      <c r="L137" s="40"/>
      <c r="M137" s="40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</row>
    <row r="138" spans="1:29">
      <c r="A138" s="41"/>
      <c r="B138" s="13"/>
      <c r="H138" s="45"/>
      <c r="I138" s="45"/>
      <c r="J138" s="45"/>
      <c r="K138" s="45"/>
      <c r="L138" s="40"/>
      <c r="M138" s="40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</row>
    <row r="139" spans="1:29">
      <c r="A139" s="41"/>
      <c r="B139" s="13"/>
      <c r="H139" s="45"/>
      <c r="I139" s="45"/>
      <c r="J139" s="45"/>
      <c r="K139" s="45"/>
      <c r="L139" s="40"/>
      <c r="M139" s="40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</row>
    <row r="140" spans="1:29">
      <c r="A140" s="41"/>
      <c r="B140" s="13"/>
      <c r="H140" s="45"/>
      <c r="I140" s="45"/>
      <c r="J140" s="45"/>
      <c r="K140" s="45"/>
      <c r="L140" s="40"/>
      <c r="M140" s="40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</row>
    <row r="141" spans="1:29">
      <c r="A141" s="41"/>
      <c r="B141" s="13"/>
      <c r="H141" s="45"/>
      <c r="I141" s="45"/>
      <c r="J141" s="45"/>
      <c r="K141" s="45"/>
      <c r="L141" s="40"/>
      <c r="M141" s="40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</row>
    <row r="142" spans="1:29">
      <c r="A142" s="41"/>
      <c r="B142" s="13"/>
      <c r="H142" s="45"/>
      <c r="I142" s="45"/>
      <c r="J142" s="45"/>
      <c r="K142" s="45"/>
      <c r="L142" s="40"/>
      <c r="M142" s="40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</row>
    <row r="143" spans="1:29">
      <c r="A143" s="41"/>
      <c r="B143" s="13"/>
      <c r="H143" s="45"/>
      <c r="I143" s="45"/>
      <c r="J143" s="45"/>
      <c r="K143" s="45"/>
      <c r="L143" s="40"/>
      <c r="M143" s="40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</row>
    <row r="144" spans="1:29">
      <c r="A144" s="41"/>
      <c r="B144" s="13"/>
      <c r="H144" s="45"/>
      <c r="I144" s="45"/>
      <c r="J144" s="45"/>
      <c r="K144" s="45"/>
      <c r="L144" s="40"/>
      <c r="M144" s="40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</row>
    <row r="145" spans="1:29">
      <c r="A145" s="41"/>
      <c r="B145" s="13"/>
      <c r="H145" s="45"/>
      <c r="I145" s="45"/>
      <c r="J145" s="45"/>
      <c r="K145" s="45"/>
      <c r="L145" s="40"/>
      <c r="M145" s="40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</row>
    <row r="146" spans="1:29">
      <c r="A146" s="41"/>
      <c r="B146" s="13"/>
      <c r="H146" s="45"/>
      <c r="I146" s="45"/>
      <c r="J146" s="45"/>
      <c r="K146" s="45"/>
      <c r="L146" s="40"/>
      <c r="M146" s="40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</row>
    <row r="147" spans="1:29">
      <c r="A147" s="41"/>
      <c r="B147" s="13"/>
      <c r="H147" s="45"/>
      <c r="I147" s="45"/>
      <c r="J147" s="45"/>
      <c r="K147" s="45"/>
      <c r="L147" s="40"/>
      <c r="M147" s="40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</row>
    <row r="148" spans="1:29">
      <c r="A148" s="41"/>
      <c r="B148" s="13"/>
      <c r="H148" s="45"/>
      <c r="I148" s="45"/>
      <c r="J148" s="45"/>
      <c r="K148" s="45"/>
      <c r="L148" s="40"/>
      <c r="M148" s="40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</row>
    <row r="149" spans="1:29">
      <c r="A149" s="41"/>
      <c r="B149" s="13"/>
      <c r="H149" s="45"/>
      <c r="I149" s="45"/>
      <c r="J149" s="45"/>
      <c r="K149" s="45"/>
      <c r="L149" s="40"/>
      <c r="M149" s="40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</row>
    <row r="150" spans="1:29">
      <c r="A150" s="41"/>
      <c r="B150" s="13"/>
      <c r="H150" s="45"/>
      <c r="I150" s="45"/>
      <c r="J150" s="45"/>
      <c r="K150" s="45"/>
      <c r="L150" s="40"/>
      <c r="M150" s="40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</row>
    <row r="151" spans="1:29">
      <c r="A151" s="41"/>
      <c r="B151" s="13"/>
      <c r="H151" s="45"/>
      <c r="I151" s="45"/>
      <c r="J151" s="45"/>
      <c r="K151" s="45"/>
      <c r="L151" s="40"/>
      <c r="M151" s="40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</row>
    <row r="152" spans="1:29">
      <c r="A152" s="41"/>
      <c r="B152" s="13"/>
      <c r="H152" s="45"/>
      <c r="I152" s="45"/>
      <c r="J152" s="45"/>
      <c r="K152" s="45"/>
      <c r="L152" s="40"/>
      <c r="M152" s="40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</row>
    <row r="153" spans="1:29">
      <c r="A153" s="41"/>
      <c r="B153" s="13"/>
      <c r="H153" s="45"/>
      <c r="I153" s="45"/>
      <c r="J153" s="45"/>
      <c r="K153" s="45"/>
      <c r="L153" s="40"/>
      <c r="M153" s="40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</row>
    <row r="154" spans="1:29">
      <c r="A154" s="41"/>
      <c r="B154" s="13"/>
      <c r="H154" s="45"/>
      <c r="I154" s="45"/>
      <c r="J154" s="45"/>
      <c r="K154" s="45"/>
      <c r="L154" s="40"/>
      <c r="M154" s="40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</row>
    <row r="155" spans="1:29">
      <c r="A155" s="41"/>
      <c r="B155" s="13"/>
      <c r="H155" s="45"/>
      <c r="I155" s="45"/>
      <c r="J155" s="45"/>
      <c r="K155" s="45"/>
      <c r="L155" s="40"/>
      <c r="M155" s="40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</row>
    <row r="156" spans="1:29">
      <c r="A156" s="41"/>
      <c r="B156" s="13"/>
      <c r="H156" s="45"/>
      <c r="I156" s="45"/>
      <c r="J156" s="45"/>
      <c r="K156" s="45"/>
      <c r="L156" s="40"/>
      <c r="M156" s="40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</row>
    <row r="157" spans="1:29">
      <c r="A157" s="41"/>
      <c r="B157" s="13"/>
      <c r="H157" s="45"/>
      <c r="I157" s="45"/>
      <c r="J157" s="45"/>
      <c r="K157" s="45"/>
      <c r="L157" s="40"/>
      <c r="M157" s="40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</row>
    <row r="158" spans="1:29">
      <c r="A158" s="41"/>
      <c r="B158" s="13"/>
      <c r="H158" s="45"/>
      <c r="I158" s="45"/>
      <c r="J158" s="45"/>
      <c r="K158" s="45"/>
      <c r="L158" s="40"/>
      <c r="M158" s="40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</row>
    <row r="159" spans="1:29">
      <c r="A159" s="41"/>
      <c r="B159" s="13"/>
      <c r="H159" s="45"/>
      <c r="I159" s="45"/>
      <c r="J159" s="45"/>
      <c r="K159" s="45"/>
      <c r="L159" s="40"/>
      <c r="M159" s="40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</row>
    <row r="160" spans="1:29">
      <c r="A160" s="41"/>
      <c r="B160" s="13"/>
      <c r="H160" s="45"/>
      <c r="I160" s="45"/>
      <c r="J160" s="45"/>
      <c r="K160" s="45"/>
      <c r="L160" s="40"/>
      <c r="M160" s="40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</row>
    <row r="161" spans="1:29">
      <c r="A161" s="41"/>
      <c r="B161" s="13"/>
      <c r="H161" s="45"/>
      <c r="I161" s="45"/>
      <c r="J161" s="45"/>
      <c r="K161" s="45"/>
      <c r="L161" s="40"/>
      <c r="M161" s="40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</row>
    <row r="162" spans="1:29">
      <c r="A162" s="41"/>
      <c r="B162" s="13"/>
      <c r="H162" s="45"/>
      <c r="I162" s="45"/>
      <c r="J162" s="45"/>
      <c r="K162" s="45"/>
      <c r="L162" s="40"/>
      <c r="M162" s="40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</row>
    <row r="163" spans="1:29">
      <c r="A163" s="41"/>
      <c r="B163" s="13"/>
      <c r="H163" s="45"/>
      <c r="I163" s="45"/>
      <c r="J163" s="45"/>
      <c r="K163" s="45"/>
      <c r="L163" s="40"/>
      <c r="M163" s="40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</row>
    <row r="164" spans="1:29">
      <c r="A164" s="41"/>
      <c r="B164" s="13"/>
      <c r="H164" s="45"/>
      <c r="I164" s="45"/>
      <c r="J164" s="45"/>
      <c r="K164" s="45"/>
      <c r="L164" s="40"/>
      <c r="M164" s="40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</row>
    <row r="165" spans="1:29">
      <c r="A165" s="41"/>
      <c r="B165" s="13"/>
      <c r="H165" s="45"/>
      <c r="I165" s="45"/>
      <c r="J165" s="45"/>
      <c r="K165" s="45"/>
      <c r="L165" s="40"/>
      <c r="M165" s="40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</row>
    <row r="166" spans="1:29">
      <c r="A166" s="41"/>
      <c r="B166" s="13"/>
      <c r="H166" s="45"/>
      <c r="I166" s="45"/>
      <c r="J166" s="45"/>
      <c r="K166" s="45"/>
      <c r="L166" s="40"/>
      <c r="M166" s="40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</row>
    <row r="167" spans="1:29">
      <c r="A167" s="41"/>
      <c r="B167" s="13"/>
      <c r="H167" s="45"/>
      <c r="I167" s="45"/>
      <c r="J167" s="45"/>
      <c r="K167" s="45"/>
      <c r="L167" s="40"/>
      <c r="M167" s="40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</row>
    <row r="168" spans="1:29">
      <c r="A168" s="41"/>
      <c r="B168" s="13"/>
      <c r="H168" s="45"/>
      <c r="I168" s="45"/>
      <c r="J168" s="45"/>
      <c r="K168" s="45"/>
      <c r="L168" s="40"/>
      <c r="M168" s="40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</row>
    <row r="169" spans="1:29">
      <c r="A169" s="41"/>
      <c r="B169" s="13"/>
      <c r="H169" s="45"/>
      <c r="I169" s="45"/>
      <c r="J169" s="45"/>
      <c r="K169" s="45"/>
      <c r="L169" s="40"/>
      <c r="M169" s="40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</row>
    <row r="170" spans="1:29">
      <c r="A170" s="41"/>
      <c r="B170" s="13"/>
      <c r="H170" s="45"/>
      <c r="I170" s="45"/>
      <c r="J170" s="45"/>
      <c r="K170" s="45"/>
      <c r="L170" s="40"/>
      <c r="M170" s="40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</row>
    <row r="171" spans="1:29">
      <c r="A171" s="41"/>
      <c r="B171" s="13"/>
      <c r="H171" s="45"/>
      <c r="I171" s="45"/>
      <c r="J171" s="45"/>
      <c r="K171" s="45"/>
      <c r="L171" s="40"/>
      <c r="M171" s="40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</row>
    <row r="172" spans="1:29">
      <c r="A172" s="41"/>
      <c r="B172" s="13"/>
      <c r="H172" s="45"/>
      <c r="I172" s="45"/>
      <c r="J172" s="45"/>
      <c r="K172" s="45"/>
      <c r="L172" s="40"/>
      <c r="M172" s="40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</row>
    <row r="173" spans="1:29">
      <c r="A173" s="41"/>
      <c r="B173" s="13"/>
      <c r="H173" s="45"/>
      <c r="I173" s="45"/>
      <c r="J173" s="45"/>
      <c r="K173" s="45"/>
      <c r="L173" s="40"/>
      <c r="M173" s="40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</row>
    <row r="174" spans="1:29">
      <c r="A174" s="41"/>
      <c r="B174" s="13"/>
      <c r="H174" s="45"/>
      <c r="I174" s="45"/>
      <c r="J174" s="45"/>
      <c r="K174" s="45"/>
      <c r="L174" s="40"/>
      <c r="M174" s="40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</row>
    <row r="175" spans="1:29">
      <c r="A175" s="41"/>
      <c r="B175" s="13"/>
      <c r="H175" s="45"/>
      <c r="I175" s="45"/>
      <c r="J175" s="45"/>
      <c r="K175" s="45"/>
      <c r="L175" s="40"/>
      <c r="M175" s="40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</row>
    <row r="176" spans="1:29">
      <c r="A176" s="41"/>
      <c r="B176" s="13"/>
      <c r="H176" s="45"/>
      <c r="I176" s="45"/>
      <c r="J176" s="45"/>
      <c r="K176" s="45"/>
      <c r="L176" s="40"/>
      <c r="M176" s="40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</row>
    <row r="177" spans="1:29">
      <c r="A177" s="41"/>
      <c r="B177" s="13"/>
      <c r="H177" s="45"/>
      <c r="I177" s="45"/>
      <c r="J177" s="45"/>
      <c r="K177" s="45"/>
      <c r="L177" s="40"/>
      <c r="M177" s="40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</row>
    <row r="178" spans="1:29">
      <c r="A178" s="41"/>
      <c r="B178" s="13"/>
      <c r="H178" s="45"/>
      <c r="I178" s="45"/>
      <c r="J178" s="45"/>
      <c r="K178" s="45"/>
      <c r="L178" s="40"/>
      <c r="M178" s="40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</row>
    <row r="179" spans="1:29">
      <c r="A179" s="41"/>
      <c r="B179" s="13"/>
      <c r="H179" s="45"/>
      <c r="I179" s="45"/>
      <c r="J179" s="45"/>
      <c r="K179" s="45"/>
      <c r="L179" s="40"/>
      <c r="M179" s="40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</row>
    <row r="180" spans="1:29">
      <c r="A180" s="41"/>
      <c r="B180" s="13"/>
      <c r="H180" s="45"/>
      <c r="I180" s="45"/>
      <c r="J180" s="45"/>
      <c r="K180" s="45"/>
      <c r="L180" s="40"/>
      <c r="M180" s="40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</row>
    <row r="181" spans="1:29">
      <c r="A181" s="41"/>
      <c r="B181" s="13"/>
      <c r="H181" s="45"/>
      <c r="I181" s="45"/>
      <c r="J181" s="45"/>
      <c r="K181" s="45"/>
      <c r="L181" s="40"/>
      <c r="M181" s="40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</row>
    <row r="182" spans="1:29">
      <c r="A182" s="41"/>
      <c r="B182" s="13"/>
      <c r="H182" s="45"/>
      <c r="I182" s="45"/>
      <c r="J182" s="45"/>
      <c r="K182" s="45"/>
      <c r="L182" s="40"/>
      <c r="M182" s="40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</row>
    <row r="183" spans="1:29">
      <c r="A183" s="41"/>
      <c r="B183" s="13"/>
      <c r="H183" s="45"/>
      <c r="I183" s="45"/>
      <c r="J183" s="45"/>
      <c r="K183" s="45"/>
      <c r="L183" s="40"/>
      <c r="M183" s="40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</row>
    <row r="184" spans="1:29">
      <c r="A184" s="41"/>
      <c r="B184" s="13"/>
      <c r="H184" s="45"/>
      <c r="I184" s="45"/>
      <c r="J184" s="45"/>
      <c r="K184" s="45"/>
      <c r="L184" s="40"/>
      <c r="M184" s="40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</row>
    <row r="185" spans="1:29">
      <c r="A185" s="41"/>
      <c r="B185" s="13"/>
      <c r="H185" s="45"/>
      <c r="I185" s="45"/>
      <c r="J185" s="45"/>
      <c r="K185" s="45"/>
      <c r="L185" s="40"/>
      <c r="M185" s="40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</row>
    <row r="186" spans="1:29">
      <c r="A186" s="41"/>
      <c r="B186" s="13"/>
      <c r="H186" s="45"/>
      <c r="I186" s="45"/>
      <c r="J186" s="45"/>
      <c r="K186" s="45"/>
      <c r="L186" s="40"/>
      <c r="M186" s="40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</row>
    <row r="187" spans="1:29">
      <c r="A187" s="41"/>
      <c r="B187" s="13"/>
      <c r="H187" s="45"/>
      <c r="I187" s="45"/>
      <c r="J187" s="45"/>
      <c r="K187" s="45"/>
      <c r="L187" s="40"/>
      <c r="M187" s="40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</row>
    <row r="188" spans="1:29">
      <c r="A188" s="41"/>
      <c r="B188" s="13"/>
      <c r="H188" s="45"/>
      <c r="I188" s="45"/>
      <c r="J188" s="45"/>
      <c r="K188" s="45"/>
      <c r="L188" s="40"/>
      <c r="M188" s="40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</row>
    <row r="189" spans="1:29">
      <c r="A189" s="41"/>
      <c r="B189" s="13"/>
      <c r="H189" s="45"/>
      <c r="I189" s="45"/>
      <c r="J189" s="45"/>
      <c r="K189" s="45"/>
      <c r="L189" s="40"/>
      <c r="M189" s="40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</row>
    <row r="190" spans="1:29">
      <c r="A190" s="41"/>
      <c r="B190" s="13"/>
      <c r="H190" s="45"/>
      <c r="I190" s="45"/>
      <c r="J190" s="45"/>
      <c r="K190" s="45"/>
      <c r="L190" s="40"/>
      <c r="M190" s="40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</row>
    <row r="191" spans="1:29">
      <c r="A191" s="41"/>
      <c r="B191" s="13"/>
      <c r="H191" s="45"/>
      <c r="I191" s="45"/>
      <c r="J191" s="45"/>
      <c r="K191" s="45"/>
      <c r="L191" s="40"/>
      <c r="M191" s="40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</row>
    <row r="192" spans="1:29">
      <c r="A192" s="41"/>
      <c r="B192" s="13"/>
      <c r="H192" s="45"/>
      <c r="I192" s="45"/>
      <c r="J192" s="45"/>
      <c r="K192" s="45"/>
      <c r="L192" s="40"/>
      <c r="M192" s="40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</row>
    <row r="193" spans="1:29">
      <c r="A193" s="41"/>
      <c r="B193" s="13"/>
      <c r="H193" s="45"/>
      <c r="I193" s="45"/>
      <c r="J193" s="45"/>
      <c r="K193" s="45"/>
      <c r="L193" s="40"/>
      <c r="M193" s="40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</row>
    <row r="194" spans="1:29">
      <c r="A194" s="41"/>
      <c r="B194" s="13"/>
      <c r="H194" s="45"/>
      <c r="I194" s="45"/>
      <c r="J194" s="45"/>
      <c r="K194" s="45"/>
      <c r="L194" s="40"/>
      <c r="M194" s="40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</row>
    <row r="195" spans="1:29">
      <c r="A195" s="41"/>
      <c r="B195" s="13"/>
      <c r="H195" s="45"/>
      <c r="I195" s="45"/>
      <c r="J195" s="45"/>
      <c r="K195" s="45"/>
      <c r="L195" s="40"/>
      <c r="M195" s="40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</row>
    <row r="196" spans="1:29">
      <c r="A196" s="41"/>
      <c r="B196" s="13"/>
      <c r="H196" s="45"/>
      <c r="I196" s="45"/>
      <c r="J196" s="45"/>
      <c r="K196" s="45"/>
      <c r="L196" s="40"/>
      <c r="M196" s="40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</row>
    <row r="197" spans="1:29">
      <c r="A197" s="41"/>
      <c r="B197" s="13"/>
      <c r="H197" s="45"/>
      <c r="I197" s="45"/>
      <c r="J197" s="45"/>
      <c r="K197" s="45"/>
      <c r="L197" s="40"/>
      <c r="M197" s="40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</row>
    <row r="198" spans="1:29">
      <c r="A198" s="41"/>
      <c r="B198" s="13"/>
      <c r="H198" s="45"/>
      <c r="I198" s="45"/>
      <c r="J198" s="45"/>
      <c r="K198" s="45"/>
      <c r="L198" s="40"/>
      <c r="M198" s="40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</row>
    <row r="199" spans="1:29">
      <c r="A199" s="41"/>
      <c r="B199" s="13"/>
      <c r="H199" s="45"/>
      <c r="I199" s="45"/>
      <c r="J199" s="45"/>
      <c r="K199" s="45"/>
      <c r="L199" s="40"/>
      <c r="M199" s="40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</row>
    <row r="200" spans="1:29">
      <c r="A200" s="41"/>
      <c r="B200" s="13"/>
      <c r="H200" s="45"/>
      <c r="I200" s="45"/>
      <c r="J200" s="45"/>
      <c r="K200" s="45"/>
      <c r="L200" s="40"/>
      <c r="M200" s="40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</row>
    <row r="201" spans="1:29">
      <c r="A201" s="41"/>
      <c r="B201" s="13"/>
      <c r="H201" s="45"/>
      <c r="I201" s="45"/>
      <c r="J201" s="45"/>
      <c r="K201" s="45"/>
      <c r="L201" s="40"/>
      <c r="M201" s="40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</row>
    <row r="202" spans="1:29">
      <c r="A202" s="41"/>
      <c r="B202" s="13"/>
      <c r="H202" s="45"/>
      <c r="I202" s="45"/>
      <c r="J202" s="45"/>
      <c r="K202" s="45"/>
      <c r="L202" s="40"/>
      <c r="M202" s="40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</row>
    <row r="203" spans="1:29">
      <c r="A203" s="41"/>
      <c r="B203" s="13"/>
      <c r="H203" s="45"/>
      <c r="I203" s="45"/>
      <c r="J203" s="45"/>
      <c r="K203" s="45"/>
      <c r="L203" s="40"/>
      <c r="M203" s="40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</row>
    <row r="204" spans="1:29">
      <c r="A204" s="41"/>
      <c r="B204" s="13"/>
      <c r="H204" s="45"/>
      <c r="I204" s="45"/>
      <c r="J204" s="45"/>
      <c r="K204" s="45"/>
      <c r="L204" s="40"/>
      <c r="M204" s="40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</row>
    <row r="205" spans="1:29">
      <c r="A205" s="41"/>
      <c r="B205" s="13"/>
      <c r="H205" s="45"/>
      <c r="I205" s="45"/>
      <c r="J205" s="45"/>
      <c r="K205" s="45"/>
      <c r="L205" s="40"/>
      <c r="M205" s="40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</row>
    <row r="206" spans="1:29">
      <c r="A206" s="41"/>
      <c r="B206" s="13"/>
      <c r="H206" s="45"/>
      <c r="I206" s="45"/>
      <c r="J206" s="45"/>
      <c r="K206" s="45"/>
      <c r="L206" s="40"/>
      <c r="M206" s="40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</row>
    <row r="207" spans="1:29">
      <c r="A207" s="41"/>
      <c r="B207" s="13"/>
      <c r="H207" s="45"/>
      <c r="I207" s="45"/>
      <c r="J207" s="45"/>
      <c r="K207" s="45"/>
      <c r="L207" s="40"/>
      <c r="M207" s="40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</row>
    <row r="208" spans="1:29">
      <c r="A208" s="41"/>
      <c r="B208" s="13"/>
      <c r="H208" s="45"/>
      <c r="I208" s="45"/>
      <c r="J208" s="45"/>
      <c r="K208" s="45"/>
      <c r="L208" s="40"/>
      <c r="M208" s="40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</row>
    <row r="209" spans="1:29">
      <c r="A209" s="41"/>
      <c r="B209" s="13"/>
      <c r="H209" s="45"/>
      <c r="I209" s="45"/>
      <c r="J209" s="45"/>
      <c r="K209" s="45"/>
      <c r="L209" s="40"/>
      <c r="M209" s="40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</row>
    <row r="210" spans="1:29">
      <c r="A210" s="41"/>
      <c r="B210" s="13"/>
      <c r="H210" s="45"/>
      <c r="I210" s="45"/>
      <c r="J210" s="45"/>
      <c r="K210" s="45"/>
      <c r="L210" s="40"/>
      <c r="M210" s="40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</row>
    <row r="211" spans="1:29">
      <c r="A211" s="41"/>
      <c r="B211" s="13"/>
      <c r="H211" s="45"/>
      <c r="I211" s="45"/>
      <c r="J211" s="45"/>
      <c r="K211" s="45"/>
      <c r="L211" s="40"/>
      <c r="M211" s="40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</row>
    <row r="212" spans="1:29">
      <c r="A212" s="41"/>
      <c r="B212" s="13"/>
      <c r="H212" s="45"/>
      <c r="I212" s="45"/>
      <c r="J212" s="45"/>
      <c r="K212" s="45"/>
      <c r="L212" s="40"/>
      <c r="M212" s="40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</row>
    <row r="213" spans="1:29">
      <c r="A213" s="41"/>
      <c r="B213" s="13"/>
      <c r="H213" s="45"/>
      <c r="I213" s="45"/>
      <c r="J213" s="45"/>
      <c r="K213" s="45"/>
      <c r="L213" s="40"/>
      <c r="M213" s="40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</row>
    <row r="214" spans="1:29">
      <c r="A214" s="41"/>
      <c r="B214" s="13"/>
      <c r="H214" s="45"/>
      <c r="I214" s="45"/>
      <c r="J214" s="45"/>
      <c r="K214" s="45"/>
      <c r="L214" s="40"/>
      <c r="M214" s="40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</row>
    <row r="215" spans="1:29">
      <c r="A215" s="41"/>
      <c r="B215" s="13"/>
      <c r="H215" s="45"/>
      <c r="I215" s="45"/>
      <c r="J215" s="45"/>
      <c r="K215" s="45"/>
      <c r="L215" s="40"/>
      <c r="M215" s="40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</row>
    <row r="216" spans="1:29">
      <c r="A216" s="41"/>
      <c r="B216" s="13"/>
      <c r="H216" s="45"/>
      <c r="I216" s="45"/>
      <c r="J216" s="45"/>
      <c r="K216" s="45"/>
      <c r="L216" s="40"/>
      <c r="M216" s="40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</row>
    <row r="217" spans="1:29">
      <c r="A217" s="41"/>
      <c r="B217" s="13"/>
      <c r="H217" s="45"/>
      <c r="I217" s="45"/>
      <c r="J217" s="45"/>
      <c r="K217" s="45"/>
      <c r="L217" s="40"/>
      <c r="M217" s="40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</row>
    <row r="218" spans="1:29">
      <c r="A218" s="41"/>
      <c r="B218" s="13"/>
      <c r="H218" s="45"/>
      <c r="I218" s="45"/>
      <c r="J218" s="45"/>
      <c r="K218" s="45"/>
      <c r="L218" s="40"/>
      <c r="M218" s="40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</row>
    <row r="219" spans="1:29">
      <c r="A219" s="41"/>
      <c r="B219" s="13"/>
      <c r="H219" s="45"/>
      <c r="I219" s="45"/>
      <c r="J219" s="45"/>
      <c r="K219" s="45"/>
      <c r="L219" s="40"/>
      <c r="M219" s="40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</row>
    <row r="220" spans="1:29">
      <c r="A220" s="41"/>
      <c r="B220" s="13"/>
      <c r="H220" s="45"/>
      <c r="I220" s="45"/>
      <c r="J220" s="45"/>
      <c r="K220" s="45"/>
      <c r="L220" s="40"/>
      <c r="M220" s="40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</row>
    <row r="221" spans="1:29">
      <c r="A221" s="41"/>
      <c r="B221" s="13"/>
      <c r="H221" s="45"/>
      <c r="I221" s="45"/>
      <c r="J221" s="45"/>
      <c r="K221" s="45"/>
      <c r="L221" s="40"/>
      <c r="M221" s="40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</row>
    <row r="222" spans="1:29">
      <c r="A222" s="41"/>
      <c r="B222" s="13"/>
      <c r="H222" s="45"/>
      <c r="I222" s="45"/>
      <c r="J222" s="45"/>
      <c r="K222" s="45"/>
      <c r="L222" s="40"/>
      <c r="M222" s="40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</row>
    <row r="223" spans="1:29">
      <c r="A223" s="41"/>
      <c r="B223" s="13"/>
      <c r="H223" s="45"/>
      <c r="I223" s="45"/>
      <c r="J223" s="45"/>
      <c r="K223" s="45"/>
      <c r="L223" s="40"/>
      <c r="M223" s="40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</row>
    <row r="224" spans="1:29">
      <c r="A224" s="41"/>
      <c r="B224" s="13"/>
      <c r="H224" s="45"/>
      <c r="I224" s="45"/>
      <c r="J224" s="45"/>
      <c r="K224" s="45"/>
      <c r="L224" s="40"/>
      <c r="M224" s="40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</row>
    <row r="225" spans="1:29">
      <c r="A225" s="41"/>
      <c r="B225" s="13"/>
      <c r="H225" s="45"/>
      <c r="I225" s="45"/>
      <c r="J225" s="45"/>
      <c r="K225" s="45"/>
      <c r="L225" s="45"/>
      <c r="M225" s="40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</row>
    <row r="226" spans="1:29">
      <c r="A226" s="41"/>
      <c r="B226" s="13"/>
      <c r="H226" s="45"/>
      <c r="I226" s="45"/>
      <c r="J226" s="45"/>
      <c r="K226" s="45"/>
      <c r="L226" s="45"/>
      <c r="M226" s="40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</row>
    <row r="227" spans="1:29">
      <c r="A227" s="41"/>
      <c r="B227" s="13"/>
      <c r="H227" s="45"/>
      <c r="I227" s="45"/>
      <c r="J227" s="45"/>
      <c r="K227" s="45"/>
      <c r="L227" s="45"/>
      <c r="M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</row>
    <row r="228" spans="1:29">
      <c r="A228" s="41"/>
      <c r="B228" s="13"/>
      <c r="H228" s="45"/>
      <c r="I228" s="45"/>
      <c r="J228" s="45"/>
      <c r="K228" s="45"/>
      <c r="L228" s="45"/>
      <c r="M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</row>
    <row r="229" spans="1:29">
      <c r="A229" s="41"/>
      <c r="B229" s="13"/>
      <c r="H229" s="45"/>
      <c r="I229" s="45"/>
      <c r="J229" s="45"/>
      <c r="K229" s="45"/>
      <c r="L229" s="45"/>
      <c r="M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</row>
    <row r="230" spans="1:29">
      <c r="A230" s="41"/>
      <c r="B230" s="13"/>
      <c r="H230" s="45"/>
      <c r="I230" s="45"/>
      <c r="J230" s="45"/>
      <c r="K230" s="45"/>
      <c r="L230" s="45"/>
      <c r="M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</row>
    <row r="231" spans="1:29">
      <c r="A231" s="41"/>
      <c r="B231" s="13"/>
      <c r="H231" s="45"/>
      <c r="I231" s="45"/>
      <c r="J231" s="45"/>
      <c r="K231" s="45"/>
      <c r="L231" s="45"/>
      <c r="M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</row>
    <row r="232" spans="1:29">
      <c r="A232" s="41"/>
      <c r="B232" s="13"/>
      <c r="H232" s="45"/>
      <c r="I232" s="45"/>
      <c r="J232" s="45"/>
      <c r="K232" s="45"/>
      <c r="L232" s="45"/>
      <c r="M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</row>
    <row r="233" spans="1:29">
      <c r="A233" s="41"/>
      <c r="B233" s="13"/>
      <c r="H233" s="45"/>
      <c r="I233" s="45"/>
      <c r="J233" s="45"/>
      <c r="K233" s="45"/>
      <c r="L233" s="45"/>
      <c r="M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</row>
    <row r="234" spans="1:29">
      <c r="A234" s="41"/>
      <c r="B234" s="13"/>
      <c r="H234" s="45"/>
      <c r="I234" s="45"/>
      <c r="J234" s="45"/>
      <c r="K234" s="45"/>
      <c r="L234" s="45"/>
      <c r="M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</row>
    <row r="235" spans="1:29">
      <c r="A235" s="41"/>
      <c r="B235" s="13"/>
      <c r="H235" s="45"/>
      <c r="I235" s="45"/>
      <c r="J235" s="45"/>
      <c r="K235" s="45"/>
      <c r="L235" s="45"/>
      <c r="M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</row>
    <row r="236" spans="1:29">
      <c r="A236" s="41"/>
      <c r="B236" s="13"/>
      <c r="H236" s="45"/>
      <c r="I236" s="45"/>
      <c r="J236" s="45"/>
      <c r="K236" s="45"/>
      <c r="L236" s="45"/>
      <c r="M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</row>
    <row r="237" spans="1:29">
      <c r="A237" s="41"/>
      <c r="B237" s="13"/>
      <c r="H237" s="45"/>
      <c r="I237" s="45"/>
      <c r="J237" s="45"/>
      <c r="K237" s="45"/>
      <c r="L237" s="45"/>
      <c r="M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</row>
    <row r="238" spans="1:29">
      <c r="A238" s="41"/>
      <c r="B238" s="13"/>
      <c r="H238" s="45"/>
      <c r="I238" s="45"/>
      <c r="J238" s="45"/>
      <c r="K238" s="45"/>
      <c r="L238" s="45"/>
      <c r="M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</row>
    <row r="239" spans="1:29">
      <c r="A239" s="41"/>
      <c r="B239" s="13"/>
      <c r="H239" s="45"/>
      <c r="I239" s="45"/>
      <c r="J239" s="45"/>
      <c r="K239" s="45"/>
      <c r="L239" s="45"/>
      <c r="M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</row>
    <row r="240" spans="1:29">
      <c r="A240" s="41"/>
      <c r="B240" s="13"/>
      <c r="H240" s="45"/>
      <c r="I240" s="45"/>
      <c r="J240" s="45"/>
      <c r="K240" s="45"/>
      <c r="L240" s="45"/>
      <c r="M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</row>
    <row r="241" spans="1:29">
      <c r="A241" s="41"/>
      <c r="B241" s="13"/>
      <c r="H241" s="45"/>
      <c r="I241" s="45"/>
      <c r="J241" s="45"/>
      <c r="K241" s="45"/>
      <c r="L241" s="45"/>
      <c r="M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</row>
    <row r="242" spans="1:29">
      <c r="A242" s="41"/>
      <c r="B242" s="13"/>
      <c r="H242" s="45"/>
      <c r="I242" s="45"/>
      <c r="J242" s="45"/>
      <c r="K242" s="45"/>
      <c r="L242" s="45"/>
      <c r="M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</row>
    <row r="243" spans="1:29">
      <c r="A243" s="41"/>
      <c r="B243" s="13"/>
      <c r="H243" s="45"/>
      <c r="I243" s="45"/>
      <c r="J243" s="45"/>
      <c r="K243" s="45"/>
      <c r="L243" s="45"/>
      <c r="M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</row>
    <row r="244" spans="1:29">
      <c r="A244" s="41"/>
      <c r="B244" s="13"/>
      <c r="H244" s="45"/>
      <c r="I244" s="45"/>
      <c r="J244" s="45"/>
      <c r="K244" s="45"/>
      <c r="L244" s="45"/>
      <c r="M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</row>
    <row r="245" spans="1:29">
      <c r="A245" s="41"/>
      <c r="B245" s="13"/>
      <c r="H245" s="45"/>
      <c r="I245" s="45"/>
      <c r="J245" s="45"/>
      <c r="K245" s="45"/>
      <c r="L245" s="45"/>
      <c r="M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</row>
    <row r="246" spans="1:29">
      <c r="A246" s="41"/>
      <c r="B246" s="13"/>
      <c r="H246" s="45"/>
      <c r="I246" s="45"/>
      <c r="J246" s="45"/>
      <c r="K246" s="45"/>
      <c r="L246" s="45"/>
      <c r="M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</row>
    <row r="247" spans="1:29">
      <c r="A247" s="41"/>
      <c r="B247" s="13"/>
      <c r="H247" s="45"/>
      <c r="I247" s="45"/>
      <c r="J247" s="45"/>
      <c r="K247" s="45"/>
      <c r="L247" s="45"/>
      <c r="M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</row>
    <row r="248" spans="1:29">
      <c r="A248" s="41" t="s">
        <v>290</v>
      </c>
      <c r="B248" s="13"/>
      <c r="H248" s="45"/>
      <c r="I248" s="45"/>
      <c r="J248" s="45"/>
      <c r="K248" s="45"/>
      <c r="L248" s="45"/>
      <c r="M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</row>
    <row r="249" spans="1:29">
      <c r="H249" s="45"/>
      <c r="I249" s="45"/>
      <c r="J249" s="45"/>
      <c r="K249" s="45"/>
      <c r="L249" s="45"/>
      <c r="M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</row>
    <row r="250" spans="1:29">
      <c r="H250" s="45"/>
      <c r="I250" s="45"/>
      <c r="J250" s="45"/>
      <c r="K250" s="45"/>
      <c r="L250" s="45"/>
      <c r="M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</row>
    <row r="251" spans="1:29">
      <c r="H251" s="45"/>
      <c r="I251" s="45"/>
      <c r="J251" s="45"/>
      <c r="K251" s="45"/>
      <c r="L251" s="45"/>
      <c r="M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</row>
    <row r="252" spans="1:29">
      <c r="H252" s="45"/>
      <c r="I252" s="45"/>
      <c r="J252" s="45"/>
      <c r="K252" s="45"/>
      <c r="L252" s="45"/>
      <c r="M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</row>
    <row r="253" spans="1:29">
      <c r="H253" s="45"/>
      <c r="I253" s="45"/>
      <c r="J253" s="45"/>
      <c r="K253" s="45"/>
      <c r="L253" s="45"/>
      <c r="M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</row>
    <row r="254" spans="1:29">
      <c r="H254" s="45"/>
      <c r="I254" s="45"/>
      <c r="J254" s="45"/>
      <c r="K254" s="45"/>
      <c r="L254" s="45"/>
      <c r="M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</row>
    <row r="255" spans="1:29">
      <c r="H255" s="45"/>
      <c r="I255" s="45"/>
      <c r="J255" s="45"/>
      <c r="K255" s="45"/>
      <c r="L255" s="45"/>
      <c r="M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</row>
    <row r="256" spans="1:29">
      <c r="H256" s="45"/>
      <c r="I256" s="45"/>
      <c r="J256" s="45"/>
      <c r="K256" s="45"/>
      <c r="L256" s="45"/>
      <c r="M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</row>
    <row r="257" spans="8:29">
      <c r="H257" s="45"/>
      <c r="I257" s="45"/>
      <c r="J257" s="45"/>
      <c r="K257" s="45"/>
      <c r="L257" s="45"/>
      <c r="M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</row>
    <row r="258" spans="8:29">
      <c r="H258" s="45"/>
      <c r="I258" s="45"/>
      <c r="J258" s="45"/>
      <c r="K258" s="45"/>
      <c r="L258" s="45"/>
      <c r="M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</row>
    <row r="259" spans="8:29">
      <c r="H259" s="45"/>
      <c r="I259" s="45"/>
      <c r="J259" s="45"/>
      <c r="K259" s="45"/>
      <c r="L259" s="45"/>
      <c r="M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</row>
    <row r="260" spans="8:29">
      <c r="H260" s="45"/>
      <c r="I260" s="45"/>
      <c r="J260" s="45"/>
      <c r="K260" s="45"/>
      <c r="L260" s="45"/>
      <c r="M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</row>
    <row r="261" spans="8:29">
      <c r="H261" s="45"/>
      <c r="I261" s="45"/>
      <c r="J261" s="45"/>
      <c r="K261" s="45"/>
      <c r="L261" s="45"/>
      <c r="M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</row>
    <row r="262" spans="8:29">
      <c r="H262" s="45"/>
      <c r="I262" s="45"/>
      <c r="J262" s="45"/>
      <c r="K262" s="45"/>
      <c r="L262" s="45"/>
      <c r="M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</row>
    <row r="263" spans="8:29">
      <c r="H263" s="45"/>
      <c r="I263" s="45"/>
      <c r="J263" s="45"/>
      <c r="K263" s="45"/>
      <c r="L263" s="45"/>
      <c r="M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</row>
    <row r="264" spans="8:29">
      <c r="H264" s="45"/>
      <c r="I264" s="45"/>
      <c r="J264" s="45"/>
      <c r="K264" s="45"/>
      <c r="L264" s="45"/>
      <c r="M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</row>
    <row r="265" spans="8:29">
      <c r="H265" s="45"/>
      <c r="I265" s="45"/>
      <c r="J265" s="45"/>
      <c r="K265" s="45"/>
      <c r="L265" s="45"/>
      <c r="M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</row>
    <row r="266" spans="8:29">
      <c r="H266" s="45"/>
      <c r="I266" s="45"/>
      <c r="J266" s="45"/>
      <c r="K266" s="45"/>
      <c r="L266" s="45"/>
      <c r="M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</row>
    <row r="267" spans="8:29">
      <c r="H267" s="45"/>
      <c r="I267" s="45"/>
      <c r="J267" s="45"/>
      <c r="K267" s="45"/>
      <c r="L267" s="45"/>
      <c r="M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</row>
    <row r="268" spans="8:29">
      <c r="H268" s="45"/>
      <c r="I268" s="45"/>
      <c r="J268" s="45"/>
      <c r="K268" s="45"/>
      <c r="L268" s="45"/>
      <c r="M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</row>
    <row r="269" spans="8:29">
      <c r="H269" s="45"/>
      <c r="I269" s="45"/>
      <c r="J269" s="45"/>
      <c r="K269" s="45"/>
      <c r="L269" s="45"/>
      <c r="M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</row>
    <row r="270" spans="8:29">
      <c r="H270" s="45"/>
      <c r="I270" s="45"/>
      <c r="J270" s="45"/>
      <c r="K270" s="45"/>
      <c r="L270" s="45"/>
      <c r="M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</row>
    <row r="271" spans="8:29">
      <c r="H271" s="45"/>
      <c r="I271" s="45"/>
      <c r="J271" s="45"/>
      <c r="K271" s="45"/>
      <c r="L271" s="45"/>
      <c r="M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</row>
    <row r="272" spans="8:29">
      <c r="H272" s="45"/>
      <c r="I272" s="45"/>
      <c r="J272" s="45"/>
      <c r="K272" s="45"/>
      <c r="L272" s="45"/>
      <c r="M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</row>
    <row r="273" spans="8:29">
      <c r="H273" s="45"/>
      <c r="I273" s="45"/>
      <c r="J273" s="45"/>
      <c r="K273" s="45"/>
      <c r="L273" s="45"/>
      <c r="M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</row>
    <row r="274" spans="8:29">
      <c r="H274" s="45"/>
      <c r="I274" s="45"/>
      <c r="J274" s="45"/>
      <c r="K274" s="45"/>
      <c r="L274" s="45"/>
      <c r="M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</row>
    <row r="275" spans="8:29">
      <c r="H275" s="45"/>
      <c r="I275" s="45"/>
      <c r="J275" s="45"/>
      <c r="K275" s="45"/>
      <c r="L275" s="45"/>
      <c r="M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</row>
    <row r="276" spans="8:29">
      <c r="H276" s="45"/>
      <c r="I276" s="45"/>
      <c r="J276" s="45"/>
      <c r="K276" s="45"/>
      <c r="L276" s="45"/>
      <c r="M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</row>
    <row r="277" spans="8:29">
      <c r="H277" s="45"/>
      <c r="I277" s="45"/>
      <c r="J277" s="45"/>
      <c r="K277" s="45"/>
      <c r="L277" s="45"/>
      <c r="M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</row>
    <row r="278" spans="8:29">
      <c r="H278" s="45"/>
      <c r="I278" s="45"/>
      <c r="J278" s="45"/>
      <c r="K278" s="45"/>
      <c r="L278" s="45"/>
      <c r="M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</row>
    <row r="279" spans="8:29">
      <c r="H279" s="45"/>
      <c r="I279" s="45"/>
      <c r="J279" s="45"/>
      <c r="K279" s="45"/>
      <c r="L279" s="45"/>
      <c r="M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</row>
    <row r="280" spans="8:29">
      <c r="H280" s="45"/>
      <c r="I280" s="45"/>
      <c r="J280" s="45"/>
      <c r="K280" s="45"/>
      <c r="L280" s="45"/>
      <c r="M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</row>
    <row r="281" spans="8:29">
      <c r="H281" s="45"/>
      <c r="I281" s="45"/>
      <c r="J281" s="45"/>
      <c r="K281" s="45"/>
      <c r="L281" s="45"/>
      <c r="M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</row>
    <row r="282" spans="8:29">
      <c r="H282" s="45"/>
      <c r="I282" s="45"/>
      <c r="J282" s="45"/>
      <c r="K282" s="45"/>
      <c r="L282" s="45"/>
      <c r="M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</row>
    <row r="283" spans="8:29">
      <c r="H283" s="45"/>
      <c r="I283" s="45"/>
      <c r="J283" s="45"/>
      <c r="K283" s="45"/>
      <c r="L283" s="45"/>
      <c r="M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</row>
    <row r="284" spans="8:29">
      <c r="H284" s="45"/>
      <c r="I284" s="45"/>
      <c r="J284" s="45"/>
      <c r="K284" s="45"/>
      <c r="L284" s="45"/>
      <c r="M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</row>
    <row r="285" spans="8:29">
      <c r="H285" s="45"/>
      <c r="I285" s="45"/>
      <c r="J285" s="45"/>
      <c r="K285" s="45"/>
      <c r="L285" s="45"/>
      <c r="M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</row>
    <row r="286" spans="8:29">
      <c r="H286" s="45"/>
      <c r="I286" s="45"/>
      <c r="J286" s="45"/>
      <c r="K286" s="45"/>
      <c r="L286" s="45"/>
      <c r="M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</row>
    <row r="287" spans="8:29">
      <c r="H287" s="45"/>
      <c r="I287" s="45"/>
      <c r="J287" s="45"/>
      <c r="K287" s="45"/>
      <c r="L287" s="45"/>
      <c r="M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</row>
    <row r="288" spans="8:29">
      <c r="H288" s="45"/>
      <c r="I288" s="45"/>
      <c r="J288" s="45"/>
      <c r="K288" s="45"/>
      <c r="L288" s="45"/>
      <c r="M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</row>
    <row r="289" spans="8:29">
      <c r="H289" s="45"/>
      <c r="I289" s="45"/>
      <c r="J289" s="45"/>
      <c r="K289" s="45"/>
      <c r="L289" s="45"/>
      <c r="M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</row>
    <row r="290" spans="8:29">
      <c r="H290" s="45"/>
      <c r="I290" s="45"/>
      <c r="J290" s="45"/>
      <c r="K290" s="45"/>
      <c r="L290" s="45"/>
      <c r="M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</row>
    <row r="291" spans="8:29">
      <c r="H291" s="45"/>
      <c r="I291" s="45"/>
      <c r="J291" s="45"/>
      <c r="K291" s="45"/>
      <c r="L291" s="45"/>
      <c r="M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</row>
    <row r="292" spans="8:29">
      <c r="H292" s="45"/>
      <c r="I292" s="45"/>
      <c r="J292" s="45"/>
      <c r="K292" s="45"/>
      <c r="L292" s="45"/>
      <c r="M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</row>
    <row r="293" spans="8:29">
      <c r="H293" s="45"/>
      <c r="I293" s="45"/>
      <c r="J293" s="45"/>
      <c r="K293" s="45"/>
      <c r="L293" s="45"/>
      <c r="M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</row>
    <row r="294" spans="8:29">
      <c r="H294" s="45"/>
      <c r="I294" s="45"/>
      <c r="J294" s="45"/>
      <c r="K294" s="45"/>
      <c r="L294" s="45"/>
      <c r="M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</row>
    <row r="295" spans="8:29">
      <c r="H295" s="45"/>
      <c r="I295" s="45"/>
      <c r="J295" s="45"/>
      <c r="K295" s="45"/>
      <c r="L295" s="45"/>
      <c r="M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</row>
    <row r="296" spans="8:29">
      <c r="H296" s="45"/>
      <c r="I296" s="45"/>
      <c r="J296" s="45"/>
      <c r="K296" s="45"/>
      <c r="L296" s="45"/>
      <c r="M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</row>
    <row r="297" spans="8:29">
      <c r="H297" s="45"/>
      <c r="I297" s="45"/>
      <c r="J297" s="45"/>
      <c r="K297" s="45"/>
      <c r="L297" s="45"/>
      <c r="M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</row>
    <row r="298" spans="8:29">
      <c r="H298" s="45"/>
      <c r="I298" s="45"/>
      <c r="J298" s="45"/>
      <c r="K298" s="45"/>
      <c r="L298" s="45"/>
      <c r="M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</row>
    <row r="299" spans="8:29">
      <c r="H299" s="45"/>
      <c r="I299" s="45"/>
      <c r="J299" s="45"/>
      <c r="K299" s="45"/>
      <c r="L299" s="45"/>
      <c r="M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</row>
    <row r="300" spans="8:29">
      <c r="H300" s="45"/>
      <c r="I300" s="45"/>
      <c r="J300" s="45"/>
      <c r="K300" s="45"/>
      <c r="L300" s="45"/>
      <c r="M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</row>
    <row r="301" spans="8:29">
      <c r="H301" s="45"/>
      <c r="I301" s="45"/>
      <c r="J301" s="45"/>
      <c r="K301" s="45"/>
      <c r="L301" s="45"/>
      <c r="M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</row>
    <row r="302" spans="8:29">
      <c r="H302" s="45"/>
      <c r="I302" s="45"/>
      <c r="J302" s="45"/>
      <c r="K302" s="45"/>
      <c r="L302" s="45"/>
      <c r="M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</row>
    <row r="303" spans="8:29">
      <c r="H303" s="45"/>
      <c r="I303" s="45"/>
      <c r="J303" s="45"/>
      <c r="K303" s="45"/>
      <c r="L303" s="45"/>
      <c r="M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</row>
    <row r="304" spans="8:29">
      <c r="H304" s="45"/>
      <c r="I304" s="45"/>
      <c r="J304" s="45"/>
      <c r="K304" s="45"/>
      <c r="L304" s="45"/>
      <c r="M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</row>
    <row r="305" spans="8:29">
      <c r="H305" s="45"/>
      <c r="I305" s="45"/>
      <c r="J305" s="45"/>
      <c r="K305" s="45"/>
      <c r="L305" s="45"/>
      <c r="M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</row>
    <row r="306" spans="8:29">
      <c r="H306" s="45"/>
      <c r="I306" s="45"/>
      <c r="J306" s="45"/>
      <c r="K306" s="45"/>
      <c r="L306" s="45"/>
      <c r="M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</row>
    <row r="307" spans="8:29">
      <c r="H307" s="45"/>
      <c r="I307" s="45"/>
      <c r="J307" s="45"/>
      <c r="K307" s="45"/>
      <c r="L307" s="45"/>
      <c r="M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</row>
    <row r="308" spans="8:29">
      <c r="H308" s="45"/>
      <c r="I308" s="45"/>
      <c r="J308" s="45"/>
      <c r="K308" s="45"/>
      <c r="L308" s="45"/>
      <c r="M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</row>
    <row r="309" spans="8:29">
      <c r="H309" s="45"/>
      <c r="I309" s="45"/>
      <c r="J309" s="45"/>
      <c r="K309" s="45"/>
      <c r="L309" s="45"/>
      <c r="M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</row>
    <row r="310" spans="8:29">
      <c r="H310" s="45"/>
      <c r="I310" s="45"/>
      <c r="J310" s="45"/>
      <c r="K310" s="45"/>
      <c r="L310" s="45"/>
      <c r="M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</row>
    <row r="311" spans="8:29">
      <c r="H311" s="45"/>
      <c r="I311" s="45"/>
      <c r="J311" s="45"/>
      <c r="K311" s="45"/>
      <c r="L311" s="45"/>
      <c r="M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</row>
    <row r="312" spans="8:29">
      <c r="H312" s="45"/>
      <c r="I312" s="45"/>
      <c r="J312" s="45"/>
      <c r="K312" s="45"/>
      <c r="L312" s="45"/>
      <c r="M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</row>
    <row r="313" spans="8:29">
      <c r="H313" s="45"/>
      <c r="I313" s="45"/>
      <c r="J313" s="45"/>
      <c r="K313" s="45"/>
      <c r="L313" s="45"/>
      <c r="M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</row>
    <row r="314" spans="8:29">
      <c r="H314" s="45"/>
      <c r="I314" s="45"/>
      <c r="J314" s="45"/>
      <c r="K314" s="45"/>
      <c r="L314" s="45"/>
      <c r="M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</row>
    <row r="315" spans="8:29">
      <c r="H315" s="45"/>
      <c r="I315" s="45"/>
      <c r="J315" s="45"/>
      <c r="K315" s="45"/>
      <c r="L315" s="45"/>
      <c r="M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</row>
    <row r="316" spans="8:29">
      <c r="H316" s="45"/>
      <c r="I316" s="45"/>
      <c r="J316" s="45"/>
      <c r="K316" s="45"/>
      <c r="L316" s="45"/>
      <c r="M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</row>
    <row r="317" spans="8:29">
      <c r="H317" s="45"/>
      <c r="I317" s="45"/>
      <c r="J317" s="45"/>
      <c r="K317" s="45"/>
      <c r="L317" s="45"/>
      <c r="M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</row>
    <row r="318" spans="8:29">
      <c r="H318" s="45"/>
      <c r="I318" s="45"/>
      <c r="J318" s="45"/>
      <c r="K318" s="45"/>
      <c r="L318" s="45"/>
      <c r="M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</row>
    <row r="319" spans="8:29">
      <c r="H319" s="45"/>
      <c r="I319" s="45"/>
      <c r="J319" s="45"/>
      <c r="K319" s="45"/>
      <c r="L319" s="45"/>
      <c r="M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</row>
    <row r="320" spans="8:29">
      <c r="H320" s="45"/>
      <c r="I320" s="45"/>
      <c r="J320" s="45"/>
      <c r="K320" s="45"/>
      <c r="L320" s="45"/>
      <c r="M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</row>
    <row r="321" spans="8:29">
      <c r="H321" s="45"/>
      <c r="I321" s="45"/>
      <c r="J321" s="45"/>
      <c r="K321" s="45"/>
      <c r="L321" s="45"/>
      <c r="M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</row>
    <row r="322" spans="8:29">
      <c r="H322" s="45"/>
      <c r="I322" s="45"/>
      <c r="J322" s="45"/>
      <c r="K322" s="45"/>
      <c r="L322" s="45"/>
      <c r="M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</row>
    <row r="323" spans="8:29">
      <c r="H323" s="45"/>
      <c r="I323" s="45"/>
      <c r="J323" s="45"/>
      <c r="K323" s="45"/>
      <c r="L323" s="45"/>
      <c r="M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</row>
    <row r="324" spans="8:29">
      <c r="H324" s="45"/>
      <c r="I324" s="45"/>
      <c r="J324" s="45"/>
      <c r="K324" s="45"/>
      <c r="L324" s="45"/>
      <c r="M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</row>
    <row r="325" spans="8:29">
      <c r="H325" s="45"/>
      <c r="I325" s="45"/>
      <c r="J325" s="45"/>
      <c r="K325" s="45"/>
      <c r="L325" s="45"/>
      <c r="M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</row>
    <row r="326" spans="8:29">
      <c r="H326" s="45"/>
      <c r="I326" s="45"/>
      <c r="J326" s="45"/>
      <c r="K326" s="45"/>
      <c r="L326" s="45"/>
      <c r="M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</row>
    <row r="327" spans="8:29">
      <c r="H327" s="45"/>
      <c r="I327" s="45"/>
      <c r="J327" s="45"/>
      <c r="K327" s="45"/>
      <c r="L327" s="45"/>
      <c r="M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</row>
    <row r="328" spans="8:29">
      <c r="H328" s="45"/>
      <c r="I328" s="45"/>
      <c r="J328" s="45"/>
      <c r="K328" s="45"/>
      <c r="L328" s="45"/>
      <c r="M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</row>
    <row r="329" spans="8:29">
      <c r="H329" s="45"/>
      <c r="I329" s="45"/>
      <c r="J329" s="45"/>
      <c r="K329" s="45"/>
      <c r="L329" s="45"/>
      <c r="M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</row>
    <row r="330" spans="8:29">
      <c r="H330" s="45"/>
      <c r="I330" s="45"/>
      <c r="J330" s="45"/>
      <c r="K330" s="45"/>
      <c r="L330" s="45"/>
      <c r="M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</row>
    <row r="331" spans="8:29">
      <c r="H331" s="45"/>
      <c r="I331" s="45"/>
      <c r="J331" s="45"/>
      <c r="K331" s="45"/>
      <c r="L331" s="45"/>
      <c r="M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</row>
    <row r="332" spans="8:29">
      <c r="H332" s="45"/>
      <c r="I332" s="45"/>
      <c r="J332" s="45"/>
      <c r="K332" s="45"/>
      <c r="L332" s="45"/>
      <c r="M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</row>
    <row r="333" spans="8:29">
      <c r="H333" s="45"/>
      <c r="I333" s="45"/>
      <c r="J333" s="45"/>
      <c r="K333" s="45"/>
      <c r="L333" s="45"/>
      <c r="M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</row>
    <row r="334" spans="8:29">
      <c r="H334" s="45"/>
      <c r="I334" s="45"/>
      <c r="J334" s="45"/>
      <c r="K334" s="45"/>
      <c r="L334" s="45"/>
      <c r="M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</row>
    <row r="335" spans="8:29">
      <c r="H335" s="45"/>
      <c r="I335" s="45"/>
      <c r="J335" s="45"/>
      <c r="K335" s="45"/>
      <c r="L335" s="45"/>
      <c r="M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</row>
    <row r="336" spans="8:29">
      <c r="H336" s="45"/>
      <c r="I336" s="45"/>
      <c r="J336" s="45"/>
      <c r="K336" s="45"/>
      <c r="L336" s="45"/>
      <c r="M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</row>
    <row r="337" spans="8:29">
      <c r="H337" s="45"/>
      <c r="I337" s="45"/>
      <c r="J337" s="45"/>
      <c r="K337" s="45"/>
      <c r="L337" s="45"/>
      <c r="M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</row>
    <row r="338" spans="8:29">
      <c r="H338" s="45"/>
      <c r="I338" s="45"/>
      <c r="J338" s="45"/>
      <c r="K338" s="45"/>
      <c r="L338" s="45"/>
      <c r="M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</row>
    <row r="339" spans="8:29">
      <c r="H339" s="45"/>
      <c r="I339" s="45"/>
      <c r="J339" s="45"/>
      <c r="K339" s="45"/>
      <c r="L339" s="45"/>
      <c r="M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</row>
    <row r="340" spans="8:29">
      <c r="H340" s="45"/>
      <c r="I340" s="45"/>
      <c r="J340" s="45"/>
      <c r="K340" s="45"/>
      <c r="L340" s="45"/>
      <c r="M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</row>
    <row r="341" spans="8:29">
      <c r="H341" s="45"/>
      <c r="I341" s="45"/>
      <c r="J341" s="45"/>
      <c r="K341" s="45"/>
      <c r="L341" s="45"/>
      <c r="M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</row>
    <row r="342" spans="8:29">
      <c r="H342" s="45"/>
      <c r="I342" s="45"/>
      <c r="J342" s="45"/>
      <c r="K342" s="45"/>
      <c r="L342" s="45"/>
      <c r="M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</row>
    <row r="343" spans="8:29">
      <c r="H343" s="45"/>
      <c r="I343" s="45"/>
      <c r="J343" s="45"/>
      <c r="K343" s="45"/>
      <c r="L343" s="45"/>
      <c r="M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</row>
    <row r="344" spans="8:29">
      <c r="H344" s="45"/>
      <c r="I344" s="45"/>
      <c r="J344" s="45"/>
      <c r="K344" s="45"/>
      <c r="L344" s="45"/>
      <c r="M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</row>
    <row r="345" spans="8:29">
      <c r="H345" s="45"/>
      <c r="I345" s="45"/>
      <c r="J345" s="45"/>
      <c r="K345" s="45"/>
      <c r="L345" s="45"/>
      <c r="M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</row>
    <row r="346" spans="8:29">
      <c r="H346" s="45"/>
      <c r="I346" s="45"/>
      <c r="J346" s="45"/>
      <c r="K346" s="45"/>
      <c r="L346" s="45"/>
      <c r="M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</row>
    <row r="347" spans="8:29">
      <c r="H347" s="45"/>
      <c r="I347" s="45"/>
      <c r="J347" s="45"/>
      <c r="K347" s="45"/>
      <c r="L347" s="45"/>
      <c r="M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</row>
    <row r="348" spans="8:29">
      <c r="H348" s="45"/>
      <c r="I348" s="45"/>
      <c r="J348" s="45"/>
      <c r="K348" s="45"/>
      <c r="L348" s="45"/>
      <c r="M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</row>
    <row r="349" spans="8:29">
      <c r="H349" s="45"/>
      <c r="I349" s="45"/>
      <c r="J349" s="45"/>
      <c r="K349" s="45"/>
      <c r="L349" s="45"/>
      <c r="M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</row>
    <row r="350" spans="8:29">
      <c r="H350" s="45"/>
      <c r="I350" s="45"/>
      <c r="J350" s="45"/>
      <c r="K350" s="45"/>
      <c r="L350" s="45"/>
      <c r="M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</row>
    <row r="351" spans="8:29">
      <c r="H351" s="45"/>
      <c r="I351" s="45"/>
      <c r="J351" s="45"/>
      <c r="K351" s="45"/>
      <c r="L351" s="45"/>
      <c r="M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</row>
    <row r="352" spans="8:29">
      <c r="H352" s="45"/>
      <c r="I352" s="45"/>
      <c r="J352" s="45"/>
      <c r="K352" s="45"/>
      <c r="L352" s="45"/>
      <c r="M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</row>
    <row r="353" spans="8:29">
      <c r="H353" s="45"/>
      <c r="I353" s="45"/>
      <c r="J353" s="45"/>
      <c r="K353" s="45"/>
      <c r="L353" s="45"/>
      <c r="M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</row>
    <row r="354" spans="8:29">
      <c r="H354" s="45"/>
      <c r="I354" s="45"/>
      <c r="J354" s="45"/>
      <c r="K354" s="45"/>
      <c r="L354" s="45"/>
      <c r="M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</row>
    <row r="355" spans="8:29">
      <c r="H355" s="45"/>
      <c r="I355" s="45"/>
      <c r="J355" s="45"/>
      <c r="K355" s="45"/>
      <c r="L355" s="45"/>
      <c r="M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</row>
    <row r="356" spans="8:29">
      <c r="H356" s="45"/>
      <c r="I356" s="45"/>
      <c r="J356" s="45"/>
      <c r="K356" s="45"/>
      <c r="L356" s="45"/>
      <c r="M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</row>
    <row r="357" spans="8:29">
      <c r="H357" s="45"/>
      <c r="I357" s="45"/>
      <c r="J357" s="45"/>
      <c r="K357" s="45"/>
      <c r="L357" s="45"/>
      <c r="M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</row>
    <row r="358" spans="8:29">
      <c r="H358" s="45"/>
      <c r="I358" s="45"/>
      <c r="J358" s="45"/>
      <c r="K358" s="45"/>
      <c r="L358" s="45"/>
      <c r="M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</row>
    <row r="359" spans="8:29">
      <c r="H359" s="45"/>
      <c r="I359" s="45"/>
      <c r="J359" s="45"/>
      <c r="K359" s="45"/>
      <c r="L359" s="45"/>
      <c r="M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</row>
    <row r="360" spans="8:29">
      <c r="H360" s="45"/>
      <c r="I360" s="45"/>
      <c r="J360" s="45"/>
      <c r="K360" s="45"/>
      <c r="L360" s="45"/>
      <c r="M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</row>
    <row r="361" spans="8:29">
      <c r="H361" s="45"/>
      <c r="I361" s="45"/>
      <c r="J361" s="45"/>
      <c r="K361" s="45"/>
      <c r="L361" s="45"/>
      <c r="M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</row>
    <row r="362" spans="8:29">
      <c r="H362" s="45"/>
      <c r="I362" s="45"/>
      <c r="J362" s="45"/>
      <c r="K362" s="45"/>
      <c r="L362" s="45"/>
      <c r="M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</row>
    <row r="363" spans="8:29">
      <c r="H363" s="45"/>
      <c r="I363" s="45"/>
      <c r="J363" s="45"/>
      <c r="K363" s="45"/>
      <c r="L363" s="45"/>
      <c r="M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</row>
    <row r="364" spans="8:29">
      <c r="H364" s="45"/>
      <c r="I364" s="45"/>
      <c r="J364" s="45"/>
      <c r="K364" s="45"/>
      <c r="L364" s="45"/>
      <c r="M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</row>
    <row r="365" spans="8:29">
      <c r="H365" s="45"/>
      <c r="I365" s="45"/>
      <c r="J365" s="45"/>
      <c r="K365" s="45"/>
      <c r="L365" s="45"/>
      <c r="M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</row>
    <row r="366" spans="8:29">
      <c r="H366" s="45"/>
      <c r="I366" s="45"/>
      <c r="J366" s="45"/>
      <c r="K366" s="45"/>
      <c r="L366" s="45"/>
      <c r="M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</row>
    <row r="367" spans="8:29">
      <c r="H367" s="45"/>
      <c r="I367" s="45"/>
      <c r="J367" s="45"/>
      <c r="K367" s="45"/>
      <c r="L367" s="45"/>
      <c r="M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</row>
    <row r="368" spans="8:29">
      <c r="H368" s="45"/>
      <c r="I368" s="45"/>
      <c r="J368" s="45"/>
      <c r="K368" s="45"/>
      <c r="L368" s="45"/>
      <c r="M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</row>
    <row r="369" spans="8:29">
      <c r="H369" s="45"/>
      <c r="I369" s="45"/>
      <c r="J369" s="45"/>
      <c r="K369" s="45"/>
      <c r="L369" s="45"/>
      <c r="M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</row>
    <row r="370" spans="8:29">
      <c r="H370" s="45"/>
      <c r="I370" s="45"/>
      <c r="J370" s="45"/>
      <c r="K370" s="45"/>
      <c r="L370" s="45"/>
      <c r="M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</row>
    <row r="371" spans="8:29">
      <c r="H371" s="45"/>
      <c r="I371" s="45"/>
      <c r="J371" s="45"/>
      <c r="K371" s="45"/>
      <c r="L371" s="45"/>
      <c r="M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</row>
    <row r="372" spans="8:29">
      <c r="H372" s="45"/>
      <c r="I372" s="45"/>
      <c r="J372" s="45"/>
      <c r="K372" s="45"/>
      <c r="L372" s="45"/>
      <c r="M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</row>
    <row r="373" spans="8:29">
      <c r="H373" s="45"/>
      <c r="I373" s="45"/>
      <c r="J373" s="45"/>
      <c r="K373" s="45"/>
      <c r="L373" s="45"/>
      <c r="M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</row>
    <row r="374" spans="8:29">
      <c r="H374" s="45"/>
      <c r="I374" s="45"/>
      <c r="J374" s="45"/>
      <c r="K374" s="45"/>
      <c r="L374" s="45"/>
      <c r="M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</row>
    <row r="375" spans="8:29">
      <c r="H375" s="45"/>
      <c r="I375" s="45"/>
      <c r="J375" s="45"/>
      <c r="K375" s="45"/>
      <c r="L375" s="45"/>
      <c r="M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</row>
    <row r="376" spans="8:29">
      <c r="H376" s="45"/>
      <c r="I376" s="45"/>
      <c r="J376" s="45"/>
      <c r="K376" s="45"/>
      <c r="L376" s="45"/>
      <c r="M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</row>
    <row r="377" spans="8:29">
      <c r="H377" s="45"/>
      <c r="I377" s="45"/>
      <c r="J377" s="45"/>
      <c r="K377" s="45"/>
      <c r="L377" s="45"/>
      <c r="M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</row>
    <row r="378" spans="8:29">
      <c r="H378" s="45"/>
      <c r="I378" s="45"/>
      <c r="J378" s="45"/>
      <c r="K378" s="45"/>
      <c r="L378" s="45"/>
      <c r="M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</row>
    <row r="379" spans="8:29">
      <c r="H379" s="45"/>
      <c r="I379" s="45"/>
      <c r="J379" s="45"/>
      <c r="K379" s="45"/>
      <c r="L379" s="45"/>
      <c r="M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</row>
    <row r="380" spans="8:29">
      <c r="H380" s="45"/>
      <c r="I380" s="45"/>
      <c r="J380" s="45"/>
      <c r="K380" s="45"/>
      <c r="L380" s="45"/>
      <c r="M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</row>
    <row r="381" spans="8:29">
      <c r="H381" s="45"/>
      <c r="I381" s="45"/>
      <c r="J381" s="45"/>
      <c r="K381" s="45"/>
      <c r="L381" s="45"/>
      <c r="M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</row>
    <row r="382" spans="8:29">
      <c r="H382" s="45"/>
      <c r="I382" s="45"/>
      <c r="J382" s="45"/>
      <c r="K382" s="45"/>
      <c r="L382" s="45"/>
      <c r="M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</row>
    <row r="383" spans="8:29">
      <c r="H383" s="45"/>
      <c r="I383" s="45"/>
      <c r="J383" s="45"/>
      <c r="K383" s="45"/>
      <c r="L383" s="45"/>
      <c r="M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</row>
    <row r="384" spans="8:29">
      <c r="H384" s="45"/>
      <c r="I384" s="45"/>
      <c r="J384" s="45"/>
      <c r="K384" s="45"/>
      <c r="L384" s="45"/>
      <c r="M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</row>
    <row r="385" spans="8:29">
      <c r="H385" s="45"/>
      <c r="I385" s="45"/>
      <c r="J385" s="45"/>
      <c r="K385" s="45"/>
      <c r="L385" s="45"/>
      <c r="M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</row>
    <row r="386" spans="8:29">
      <c r="H386" s="45"/>
      <c r="I386" s="45"/>
      <c r="J386" s="45"/>
      <c r="K386" s="45"/>
      <c r="L386" s="45"/>
      <c r="M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</row>
    <row r="387" spans="8:29">
      <c r="H387" s="45"/>
      <c r="I387" s="45"/>
      <c r="J387" s="45"/>
      <c r="K387" s="45"/>
      <c r="L387" s="45"/>
      <c r="M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</row>
    <row r="388" spans="8:29">
      <c r="H388" s="45"/>
      <c r="I388" s="45"/>
      <c r="J388" s="45"/>
      <c r="K388" s="45"/>
      <c r="L388" s="45"/>
      <c r="M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</row>
    <row r="389" spans="8:29">
      <c r="H389" s="45"/>
      <c r="I389" s="45"/>
      <c r="J389" s="45"/>
      <c r="K389" s="45"/>
      <c r="L389" s="45"/>
      <c r="M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</row>
    <row r="390" spans="8:29">
      <c r="H390" s="45"/>
      <c r="I390" s="45"/>
      <c r="J390" s="45"/>
      <c r="K390" s="45"/>
      <c r="L390" s="45"/>
      <c r="M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</row>
    <row r="391" spans="8:29">
      <c r="H391" s="45"/>
      <c r="I391" s="45"/>
      <c r="J391" s="45"/>
      <c r="K391" s="45"/>
      <c r="L391" s="45"/>
      <c r="M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</row>
    <row r="392" spans="8:29">
      <c r="H392" s="45"/>
      <c r="I392" s="45"/>
      <c r="J392" s="45"/>
      <c r="K392" s="45"/>
      <c r="L392" s="45"/>
      <c r="M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</row>
    <row r="393" spans="8:29">
      <c r="H393" s="45"/>
      <c r="I393" s="45"/>
      <c r="J393" s="45"/>
      <c r="K393" s="45"/>
      <c r="L393" s="45"/>
      <c r="M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</row>
    <row r="394" spans="8:29">
      <c r="H394" s="45"/>
      <c r="I394" s="45"/>
      <c r="J394" s="45"/>
      <c r="K394" s="45"/>
      <c r="L394" s="45"/>
      <c r="M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</row>
    <row r="395" spans="8:29">
      <c r="H395" s="45"/>
      <c r="I395" s="45"/>
      <c r="J395" s="45"/>
      <c r="K395" s="45"/>
      <c r="L395" s="45"/>
      <c r="M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</row>
    <row r="396" spans="8:29">
      <c r="H396" s="45"/>
      <c r="I396" s="45"/>
      <c r="J396" s="45"/>
      <c r="K396" s="45"/>
      <c r="L396" s="45"/>
      <c r="M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</row>
    <row r="397" spans="8:29">
      <c r="H397" s="45"/>
      <c r="I397" s="45"/>
      <c r="J397" s="45"/>
      <c r="K397" s="45"/>
      <c r="L397" s="45"/>
      <c r="M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</row>
    <row r="398" spans="8:29">
      <c r="H398" s="45"/>
      <c r="I398" s="45"/>
      <c r="J398" s="45"/>
      <c r="K398" s="45"/>
      <c r="L398" s="45"/>
      <c r="M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</row>
    <row r="399" spans="8:29">
      <c r="H399" s="45"/>
      <c r="I399" s="45"/>
      <c r="J399" s="45"/>
      <c r="K399" s="45"/>
      <c r="L399" s="45"/>
      <c r="M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</row>
    <row r="400" spans="8:29">
      <c r="H400" s="45"/>
      <c r="I400" s="45"/>
      <c r="J400" s="45"/>
      <c r="K400" s="45"/>
      <c r="L400" s="45"/>
      <c r="M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</row>
    <row r="401" spans="8:29">
      <c r="H401" s="45"/>
      <c r="I401" s="45"/>
      <c r="J401" s="45"/>
      <c r="K401" s="45"/>
      <c r="L401" s="45"/>
      <c r="M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</row>
    <row r="402" spans="8:29">
      <c r="H402" s="45"/>
      <c r="I402" s="45"/>
      <c r="J402" s="45"/>
      <c r="K402" s="45"/>
      <c r="L402" s="45"/>
      <c r="M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</row>
    <row r="403" spans="8:29">
      <c r="H403" s="45"/>
      <c r="I403" s="45"/>
      <c r="J403" s="45"/>
      <c r="K403" s="45"/>
      <c r="L403" s="45"/>
      <c r="M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</row>
    <row r="404" spans="8:29">
      <c r="H404" s="45"/>
      <c r="I404" s="45"/>
      <c r="J404" s="45"/>
      <c r="K404" s="45"/>
      <c r="L404" s="45"/>
      <c r="M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</row>
    <row r="405" spans="8:29">
      <c r="H405" s="45"/>
      <c r="I405" s="45"/>
      <c r="J405" s="45"/>
      <c r="K405" s="45"/>
      <c r="L405" s="45"/>
      <c r="M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</row>
    <row r="406" spans="8:29">
      <c r="H406" s="45"/>
      <c r="I406" s="45"/>
      <c r="J406" s="45"/>
      <c r="K406" s="45"/>
      <c r="L406" s="45"/>
      <c r="M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</row>
    <row r="407" spans="8:29">
      <c r="H407" s="45"/>
      <c r="I407" s="45"/>
      <c r="J407" s="45"/>
      <c r="K407" s="45"/>
      <c r="L407" s="45"/>
      <c r="M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</row>
    <row r="408" spans="8:29">
      <c r="H408" s="45"/>
      <c r="I408" s="45"/>
      <c r="J408" s="45"/>
      <c r="K408" s="45"/>
      <c r="L408" s="45"/>
      <c r="M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</row>
    <row r="409" spans="8:29">
      <c r="H409" s="45"/>
      <c r="I409" s="45"/>
      <c r="J409" s="45"/>
      <c r="K409" s="45"/>
      <c r="L409" s="45"/>
      <c r="M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</row>
    <row r="410" spans="8:29">
      <c r="H410" s="45"/>
      <c r="I410" s="45"/>
      <c r="J410" s="45"/>
      <c r="K410" s="45"/>
      <c r="L410" s="45"/>
      <c r="M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</row>
    <row r="411" spans="8:29">
      <c r="H411" s="45"/>
      <c r="I411" s="45"/>
      <c r="J411" s="45"/>
      <c r="K411" s="45"/>
      <c r="L411" s="45"/>
      <c r="M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</row>
    <row r="412" spans="8:29">
      <c r="H412" s="45"/>
      <c r="I412" s="45"/>
      <c r="J412" s="45"/>
      <c r="K412" s="45"/>
      <c r="L412" s="45"/>
      <c r="M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</row>
    <row r="413" spans="8:29">
      <c r="H413" s="45"/>
      <c r="I413" s="45"/>
      <c r="J413" s="45"/>
      <c r="K413" s="45"/>
      <c r="L413" s="45"/>
      <c r="M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</row>
    <row r="414" spans="8:29">
      <c r="H414" s="45"/>
      <c r="I414" s="45"/>
      <c r="J414" s="45"/>
      <c r="K414" s="45"/>
      <c r="L414" s="45"/>
      <c r="M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</row>
    <row r="415" spans="8:29">
      <c r="H415" s="45"/>
      <c r="I415" s="45"/>
      <c r="J415" s="45"/>
      <c r="K415" s="45"/>
      <c r="L415" s="45"/>
      <c r="M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</row>
    <row r="416" spans="8:29">
      <c r="H416" s="45"/>
      <c r="I416" s="45"/>
      <c r="J416" s="45"/>
      <c r="K416" s="45"/>
      <c r="L416" s="45"/>
      <c r="M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</row>
    <row r="417" spans="8:29">
      <c r="H417" s="45"/>
      <c r="I417" s="45"/>
      <c r="J417" s="45"/>
      <c r="K417" s="45"/>
      <c r="L417" s="45"/>
      <c r="M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</row>
    <row r="418" spans="8:29">
      <c r="H418" s="45"/>
      <c r="I418" s="45"/>
      <c r="J418" s="45"/>
      <c r="K418" s="45"/>
      <c r="L418" s="45"/>
      <c r="M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</row>
    <row r="419" spans="8:29">
      <c r="H419" s="45"/>
      <c r="I419" s="45"/>
      <c r="J419" s="45"/>
      <c r="K419" s="45"/>
      <c r="L419" s="45"/>
      <c r="M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</row>
    <row r="420" spans="8:29">
      <c r="H420" s="45"/>
      <c r="I420" s="45"/>
      <c r="J420" s="45"/>
      <c r="K420" s="45"/>
      <c r="L420" s="45"/>
      <c r="M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</row>
    <row r="421" spans="8:29">
      <c r="H421" s="45"/>
      <c r="I421" s="45"/>
      <c r="J421" s="45"/>
      <c r="K421" s="45"/>
      <c r="L421" s="45"/>
      <c r="M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</row>
    <row r="422" spans="8:29">
      <c r="H422" s="45"/>
      <c r="I422" s="45"/>
      <c r="J422" s="45"/>
      <c r="K422" s="45"/>
      <c r="L422" s="45"/>
      <c r="M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</row>
    <row r="423" spans="8:29">
      <c r="H423" s="45"/>
      <c r="I423" s="45"/>
      <c r="J423" s="45"/>
      <c r="K423" s="45"/>
      <c r="L423" s="45"/>
      <c r="M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</row>
    <row r="424" spans="8:29">
      <c r="H424" s="45"/>
      <c r="I424" s="45"/>
      <c r="J424" s="45"/>
      <c r="K424" s="45"/>
      <c r="L424" s="45"/>
      <c r="M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</row>
    <row r="425" spans="8:29">
      <c r="H425" s="45"/>
      <c r="I425" s="45"/>
      <c r="J425" s="45"/>
      <c r="K425" s="45"/>
      <c r="L425" s="45"/>
      <c r="M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</row>
    <row r="426" spans="8:29">
      <c r="H426" s="45"/>
      <c r="I426" s="45"/>
      <c r="J426" s="45"/>
      <c r="K426" s="45"/>
      <c r="L426" s="45"/>
      <c r="M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</row>
    <row r="427" spans="8:29">
      <c r="H427" s="45"/>
      <c r="I427" s="45"/>
      <c r="J427" s="45"/>
      <c r="K427" s="45"/>
      <c r="L427" s="45"/>
      <c r="M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</row>
    <row r="428" spans="8:29">
      <c r="H428" s="45"/>
      <c r="I428" s="45"/>
      <c r="J428" s="45"/>
      <c r="K428" s="45"/>
      <c r="L428" s="45"/>
      <c r="M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</row>
    <row r="429" spans="8:29">
      <c r="H429" s="45"/>
      <c r="I429" s="45"/>
      <c r="J429" s="45"/>
      <c r="K429" s="45"/>
      <c r="L429" s="45"/>
      <c r="M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</row>
    <row r="430" spans="8:29">
      <c r="H430" s="45"/>
      <c r="I430" s="45"/>
      <c r="J430" s="45"/>
      <c r="K430" s="45"/>
      <c r="L430" s="45"/>
      <c r="M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</row>
    <row r="431" spans="8:29">
      <c r="H431" s="45"/>
      <c r="I431" s="45"/>
      <c r="J431" s="45"/>
      <c r="K431" s="45"/>
      <c r="L431" s="45"/>
      <c r="M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</row>
    <row r="432" spans="8:29">
      <c r="H432" s="45"/>
      <c r="I432" s="45"/>
      <c r="J432" s="45"/>
      <c r="K432" s="45"/>
      <c r="L432" s="45"/>
      <c r="M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</row>
    <row r="433" spans="8:29">
      <c r="H433" s="45"/>
      <c r="I433" s="45"/>
      <c r="J433" s="45"/>
      <c r="K433" s="45"/>
      <c r="L433" s="45"/>
      <c r="M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</row>
    <row r="434" spans="8:29">
      <c r="H434" s="45"/>
      <c r="I434" s="45"/>
      <c r="J434" s="45"/>
      <c r="K434" s="45"/>
      <c r="L434" s="45"/>
      <c r="M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</row>
    <row r="435" spans="8:29">
      <c r="H435" s="45"/>
      <c r="I435" s="45"/>
      <c r="J435" s="45"/>
      <c r="K435" s="45"/>
      <c r="L435" s="45"/>
      <c r="M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</row>
    <row r="436" spans="8:29">
      <c r="H436" s="45"/>
      <c r="I436" s="45"/>
      <c r="J436" s="45"/>
      <c r="K436" s="45"/>
      <c r="L436" s="45"/>
      <c r="M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</row>
    <row r="437" spans="8:29">
      <c r="H437" s="45"/>
      <c r="I437" s="45"/>
      <c r="J437" s="45"/>
      <c r="K437" s="45"/>
      <c r="L437" s="45"/>
      <c r="M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</row>
    <row r="438" spans="8:29">
      <c r="H438" s="45"/>
      <c r="I438" s="45"/>
      <c r="J438" s="45"/>
      <c r="K438" s="45"/>
      <c r="L438" s="45"/>
      <c r="M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</row>
    <row r="439" spans="8:29">
      <c r="H439" s="45"/>
      <c r="I439" s="45"/>
      <c r="J439" s="45"/>
      <c r="K439" s="45"/>
      <c r="L439" s="45"/>
      <c r="M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</row>
    <row r="440" spans="8:29">
      <c r="H440" s="45"/>
      <c r="I440" s="45"/>
      <c r="J440" s="45"/>
      <c r="K440" s="45"/>
      <c r="L440" s="45"/>
      <c r="M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</row>
    <row r="441" spans="8:29">
      <c r="H441" s="45"/>
      <c r="I441" s="45"/>
      <c r="J441" s="45"/>
      <c r="K441" s="45"/>
      <c r="L441" s="45"/>
      <c r="M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</row>
    <row r="442" spans="8:29">
      <c r="H442" s="45"/>
      <c r="I442" s="45"/>
      <c r="J442" s="45"/>
      <c r="K442" s="45"/>
      <c r="L442" s="45"/>
      <c r="M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</row>
    <row r="443" spans="8:29">
      <c r="H443" s="45"/>
      <c r="I443" s="45"/>
      <c r="J443" s="45"/>
      <c r="K443" s="45"/>
      <c r="L443" s="45"/>
      <c r="M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</row>
    <row r="444" spans="8:29">
      <c r="H444" s="45"/>
      <c r="I444" s="45"/>
      <c r="J444" s="45"/>
      <c r="K444" s="45"/>
      <c r="L444" s="45"/>
      <c r="M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</row>
    <row r="445" spans="8:29">
      <c r="H445" s="45"/>
      <c r="I445" s="45"/>
      <c r="J445" s="45"/>
      <c r="K445" s="45"/>
      <c r="L445" s="45"/>
      <c r="M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</row>
    <row r="446" spans="8:29">
      <c r="H446" s="45"/>
      <c r="I446" s="45"/>
      <c r="J446" s="45"/>
      <c r="K446" s="45"/>
      <c r="L446" s="45"/>
      <c r="M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</row>
    <row r="447" spans="8:29">
      <c r="H447" s="45"/>
      <c r="I447" s="45"/>
      <c r="J447" s="45"/>
      <c r="K447" s="45"/>
      <c r="L447" s="45"/>
      <c r="M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</row>
    <row r="448" spans="8:29">
      <c r="H448" s="45"/>
      <c r="I448" s="45"/>
      <c r="J448" s="45"/>
      <c r="K448" s="45"/>
      <c r="L448" s="45"/>
      <c r="M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</row>
    <row r="449" spans="8:29">
      <c r="H449" s="45"/>
      <c r="I449" s="45"/>
      <c r="J449" s="45"/>
      <c r="K449" s="45"/>
      <c r="L449" s="45"/>
      <c r="M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</row>
    <row r="450" spans="8:29">
      <c r="H450" s="45"/>
      <c r="I450" s="45"/>
      <c r="J450" s="45"/>
      <c r="K450" s="45"/>
      <c r="L450" s="45"/>
      <c r="M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</row>
    <row r="451" spans="8:29">
      <c r="H451" s="45"/>
      <c r="I451" s="45"/>
      <c r="J451" s="45"/>
      <c r="K451" s="45"/>
      <c r="L451" s="45"/>
      <c r="M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</row>
    <row r="452" spans="8:29">
      <c r="H452" s="45"/>
      <c r="I452" s="45"/>
      <c r="J452" s="45"/>
      <c r="K452" s="45"/>
      <c r="L452" s="45"/>
      <c r="M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</row>
    <row r="453" spans="8:29">
      <c r="H453" s="45"/>
      <c r="I453" s="45"/>
      <c r="J453" s="45"/>
      <c r="K453" s="45"/>
      <c r="L453" s="45"/>
      <c r="M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</row>
    <row r="454" spans="8:29">
      <c r="H454" s="45"/>
      <c r="I454" s="45"/>
      <c r="J454" s="45"/>
      <c r="K454" s="45"/>
      <c r="L454" s="45"/>
      <c r="M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</row>
    <row r="455" spans="8:29">
      <c r="H455" s="45"/>
      <c r="I455" s="45"/>
      <c r="J455" s="45"/>
      <c r="K455" s="45"/>
      <c r="L455" s="45"/>
      <c r="M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</row>
    <row r="456" spans="8:29">
      <c r="H456" s="45"/>
      <c r="I456" s="45"/>
      <c r="J456" s="45"/>
      <c r="K456" s="45"/>
      <c r="L456" s="45"/>
      <c r="M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</row>
    <row r="457" spans="8:29">
      <c r="H457" s="45"/>
      <c r="I457" s="45"/>
      <c r="J457" s="45"/>
      <c r="K457" s="45"/>
      <c r="L457" s="45"/>
      <c r="M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</row>
    <row r="458" spans="8:29">
      <c r="H458" s="45"/>
      <c r="I458" s="45"/>
      <c r="J458" s="45"/>
      <c r="K458" s="45"/>
      <c r="L458" s="45"/>
      <c r="M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</row>
    <row r="459" spans="8:29">
      <c r="H459" s="45"/>
      <c r="I459" s="45"/>
      <c r="J459" s="45"/>
      <c r="K459" s="45"/>
      <c r="L459" s="45"/>
      <c r="M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</row>
    <row r="460" spans="8:29">
      <c r="I460" s="45"/>
      <c r="M460" s="45"/>
      <c r="O460" s="45"/>
      <c r="P460" s="45"/>
      <c r="R460" s="45"/>
      <c r="S460" s="45"/>
      <c r="T460" s="45"/>
      <c r="U460" s="45"/>
      <c r="W460" s="45"/>
      <c r="Z460" s="45"/>
      <c r="AC460" s="45"/>
    </row>
    <row r="461" spans="8:29">
      <c r="M461" s="45"/>
      <c r="P461" s="45"/>
      <c r="R461" s="45"/>
      <c r="S461" s="45"/>
      <c r="U461" s="45"/>
      <c r="AC461" s="45"/>
    </row>
    <row r="462" spans="8:29">
      <c r="P462" s="45"/>
      <c r="U462" s="45"/>
      <c r="AC462" s="45"/>
    </row>
    <row r="463" spans="8:29">
      <c r="P463" s="45"/>
      <c r="U463" s="45"/>
    </row>
    <row r="464" spans="8:29">
      <c r="P464" s="45"/>
      <c r="U464" s="45"/>
    </row>
    <row r="465" spans="16:21">
      <c r="P465" s="45"/>
      <c r="U465" s="45"/>
    </row>
    <row r="466" spans="16:21">
      <c r="P466" s="45"/>
      <c r="U466" s="45"/>
    </row>
    <row r="467" spans="16:21">
      <c r="U467" s="45"/>
    </row>
    <row r="468" spans="16:21">
      <c r="U468" s="45"/>
    </row>
    <row r="500" spans="1:29">
      <c r="A500" s="13" t="s">
        <v>468</v>
      </c>
      <c r="B500" s="13"/>
      <c r="C500" s="13" t="s">
        <v>468</v>
      </c>
      <c r="H500" s="13" t="s">
        <v>468</v>
      </c>
      <c r="J500" s="13" t="s">
        <v>468</v>
      </c>
      <c r="K500" s="13" t="s">
        <v>468</v>
      </c>
      <c r="L500" s="13" t="s">
        <v>468</v>
      </c>
      <c r="Q500" s="13" t="s">
        <v>468</v>
      </c>
      <c r="V500" s="13" t="s">
        <v>468</v>
      </c>
      <c r="X500" s="13" t="s">
        <v>468</v>
      </c>
      <c r="Y500" s="13" t="s">
        <v>468</v>
      </c>
      <c r="AB500" s="13" t="s">
        <v>468</v>
      </c>
    </row>
    <row r="501" spans="1:29">
      <c r="I501" s="13" t="s">
        <v>468</v>
      </c>
      <c r="O501" s="13" t="s">
        <v>468</v>
      </c>
      <c r="T501" s="13" t="s">
        <v>468</v>
      </c>
      <c r="W501" s="13" t="s">
        <v>468</v>
      </c>
      <c r="Z501" s="13" t="s">
        <v>468</v>
      </c>
    </row>
    <row r="502" spans="1:29">
      <c r="M502" s="13" t="s">
        <v>468</v>
      </c>
      <c r="S502" s="13" t="s">
        <v>468</v>
      </c>
    </row>
    <row r="503" spans="1:29">
      <c r="AC503" s="13" t="s">
        <v>468</v>
      </c>
    </row>
  </sheetData>
  <pageMargins left="0.7" right="0.7" top="0.75" bottom="0.75" header="0.3" footer="0.3"/>
  <pageSetup orientation="portrait" r:id="rId1"/>
  <tableParts count="2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I173"/>
  <sheetViews>
    <sheetView topLeftCell="T1" zoomScaleNormal="100" workbookViewId="0">
      <selection activeCell="AG2" sqref="AG2"/>
    </sheetView>
  </sheetViews>
  <sheetFormatPr defaultColWidth="9.109375" defaultRowHeight="14.4"/>
  <cols>
    <col min="1" max="1" width="22.88671875" style="20" bestFit="1" customWidth="1"/>
    <col min="2" max="2" width="3.88671875" style="20" customWidth="1"/>
    <col min="3" max="3" width="11.44140625" style="26" bestFit="1" customWidth="1"/>
    <col min="4" max="4" width="3.88671875" style="26" customWidth="1"/>
    <col min="5" max="5" width="22.5546875" style="26" bestFit="1" customWidth="1"/>
    <col min="6" max="6" width="3.88671875" style="26" customWidth="1"/>
    <col min="7" max="7" width="15.109375" style="26" bestFit="1" customWidth="1"/>
    <col min="8" max="8" width="3.88671875" style="26" customWidth="1"/>
    <col min="9" max="9" width="58.33203125" style="20" bestFit="1" customWidth="1"/>
    <col min="10" max="10" width="3.88671875" style="20" customWidth="1"/>
    <col min="11" max="11" width="11" style="20" bestFit="1" customWidth="1"/>
    <col min="12" max="12" width="3.88671875" style="20" customWidth="1"/>
    <col min="13" max="13" width="34.5546875" style="20" bestFit="1" customWidth="1"/>
    <col min="14" max="14" width="3.6640625" style="67" customWidth="1"/>
    <col min="15" max="15" width="34.5546875" style="20" customWidth="1"/>
    <col min="16" max="16" width="3.88671875" style="20" customWidth="1"/>
    <col min="17" max="17" width="25.6640625" style="20" bestFit="1" customWidth="1"/>
    <col min="18" max="18" width="3.88671875" style="20" customWidth="1"/>
    <col min="19" max="19" width="20.44140625" style="20" bestFit="1" customWidth="1"/>
    <col min="20" max="20" width="3.88671875" style="20" customWidth="1"/>
    <col min="21" max="21" width="17.88671875" style="20" bestFit="1" customWidth="1"/>
    <col min="22" max="22" width="3.88671875" style="20" customWidth="1"/>
    <col min="23" max="23" width="19.109375" style="20" bestFit="1" customWidth="1"/>
    <col min="24" max="24" width="3.88671875" style="20" customWidth="1"/>
    <col min="25" max="25" width="56.6640625" style="20" bestFit="1" customWidth="1"/>
    <col min="26" max="26" width="3.88671875" style="20" customWidth="1"/>
    <col min="27" max="27" width="22.5546875" style="20" bestFit="1" customWidth="1"/>
    <col min="28" max="28" width="3.88671875" style="20" customWidth="1"/>
    <col min="29" max="29" width="24.5546875" style="20" bestFit="1" customWidth="1"/>
    <col min="30" max="30" width="3.88671875" style="20" customWidth="1"/>
    <col min="31" max="31" width="53.5546875" style="20" bestFit="1" customWidth="1"/>
    <col min="32" max="32" width="9.109375" style="20"/>
    <col min="33" max="33" width="14.33203125" style="20" customWidth="1"/>
    <col min="34" max="16384" width="9.109375" style="20"/>
  </cols>
  <sheetData>
    <row r="1" spans="1:35">
      <c r="A1" s="108" t="s">
        <v>315</v>
      </c>
      <c r="B1" s="21"/>
      <c r="C1" s="28" t="s">
        <v>401</v>
      </c>
      <c r="D1" s="23"/>
      <c r="E1" s="111" t="s">
        <v>293</v>
      </c>
      <c r="F1" s="23"/>
      <c r="G1" s="111" t="s">
        <v>301</v>
      </c>
      <c r="H1" s="23"/>
      <c r="I1" s="28" t="s">
        <v>397</v>
      </c>
      <c r="J1" s="24"/>
      <c r="K1" s="28" t="s">
        <v>398</v>
      </c>
      <c r="L1" s="24"/>
      <c r="M1" s="111" t="s">
        <v>399</v>
      </c>
      <c r="N1" s="66"/>
      <c r="O1" s="65" t="s">
        <v>482</v>
      </c>
      <c r="P1" s="24"/>
      <c r="Q1" s="108" t="s">
        <v>302</v>
      </c>
      <c r="R1" s="22"/>
      <c r="S1" s="108" t="s">
        <v>20</v>
      </c>
      <c r="T1" s="21"/>
      <c r="U1" s="108" t="s">
        <v>329</v>
      </c>
      <c r="V1" s="21"/>
      <c r="W1" s="108" t="s">
        <v>356</v>
      </c>
      <c r="X1" s="22"/>
      <c r="Y1" s="108" t="s">
        <v>378</v>
      </c>
      <c r="Z1" s="21"/>
      <c r="AA1" s="108" t="s">
        <v>303</v>
      </c>
      <c r="AB1" s="22"/>
      <c r="AC1" s="108" t="s">
        <v>341</v>
      </c>
      <c r="AD1" s="21"/>
      <c r="AE1" s="108" t="s">
        <v>361</v>
      </c>
      <c r="AF1" s="22"/>
      <c r="AG1" s="22" t="s">
        <v>599</v>
      </c>
      <c r="AH1" s="22"/>
      <c r="AI1" s="22"/>
    </row>
    <row r="2" spans="1:35" ht="18">
      <c r="A2" s="107" t="s">
        <v>611</v>
      </c>
      <c r="B2" s="22"/>
      <c r="C2" s="29" t="s">
        <v>291</v>
      </c>
      <c r="D2" s="23"/>
      <c r="E2" s="113" t="s">
        <v>294</v>
      </c>
      <c r="F2" s="25"/>
      <c r="G2" s="110" t="s">
        <v>304</v>
      </c>
      <c r="H2" s="23"/>
      <c r="I2" s="31" t="s">
        <v>400</v>
      </c>
      <c r="J2" s="19"/>
      <c r="K2" s="27" t="s">
        <v>295</v>
      </c>
      <c r="L2" s="22"/>
      <c r="M2" s="115" t="s">
        <v>296</v>
      </c>
      <c r="N2" s="21"/>
      <c r="O2" s="29" t="s">
        <v>472</v>
      </c>
      <c r="P2" s="22"/>
      <c r="Q2" s="107" t="s">
        <v>485</v>
      </c>
      <c r="R2" s="22"/>
      <c r="S2" s="118" t="s">
        <v>317</v>
      </c>
      <c r="T2" s="21"/>
      <c r="U2" s="118" t="s">
        <v>333</v>
      </c>
      <c r="V2" s="21"/>
      <c r="W2" s="118" t="s">
        <v>358</v>
      </c>
      <c r="X2" s="21"/>
      <c r="Y2" s="107" t="s">
        <v>379</v>
      </c>
      <c r="Z2" s="22"/>
      <c r="AA2" s="107" t="s">
        <v>306</v>
      </c>
      <c r="AB2" s="22"/>
      <c r="AC2" s="107" t="s">
        <v>346</v>
      </c>
      <c r="AD2" s="22"/>
      <c r="AE2" s="118" t="s">
        <v>364</v>
      </c>
      <c r="AF2" s="22"/>
      <c r="AG2" s="125">
        <f ca="1">TODAY()</f>
        <v>43593</v>
      </c>
      <c r="AH2" s="22"/>
      <c r="AI2" s="22"/>
    </row>
    <row r="3" spans="1:35" ht="18">
      <c r="A3" s="107" t="s">
        <v>325</v>
      </c>
      <c r="B3" s="22"/>
      <c r="C3" s="29" t="s">
        <v>292</v>
      </c>
      <c r="D3" s="23"/>
      <c r="E3" s="113" t="s">
        <v>297</v>
      </c>
      <c r="F3" s="25"/>
      <c r="G3" s="110" t="s">
        <v>305</v>
      </c>
      <c r="H3" s="23"/>
      <c r="I3" s="31" t="s">
        <v>402</v>
      </c>
      <c r="J3" s="19"/>
      <c r="K3" s="27" t="s">
        <v>298</v>
      </c>
      <c r="L3" s="22"/>
      <c r="M3" s="115" t="s">
        <v>299</v>
      </c>
      <c r="N3" s="21"/>
      <c r="O3" s="29" t="s">
        <v>481</v>
      </c>
      <c r="P3" s="22"/>
      <c r="Q3" s="107" t="s">
        <v>486</v>
      </c>
      <c r="R3" s="22"/>
      <c r="S3" s="107" t="s">
        <v>319</v>
      </c>
      <c r="T3" s="22"/>
      <c r="U3" s="118" t="s">
        <v>336</v>
      </c>
      <c r="V3" s="21"/>
      <c r="W3" s="118" t="s">
        <v>360</v>
      </c>
      <c r="X3" s="21"/>
      <c r="Y3" s="107" t="s">
        <v>380</v>
      </c>
      <c r="Z3" s="22"/>
      <c r="AA3" s="107" t="s">
        <v>309</v>
      </c>
      <c r="AB3" s="22"/>
      <c r="AC3" s="107" t="s">
        <v>348</v>
      </c>
      <c r="AD3" s="22"/>
      <c r="AE3" s="107" t="s">
        <v>366</v>
      </c>
      <c r="AF3" s="22"/>
      <c r="AG3" s="125">
        <f ca="1">AG2+1</f>
        <v>43594</v>
      </c>
      <c r="AH3" s="22"/>
      <c r="AI3" s="22"/>
    </row>
    <row r="4" spans="1:35">
      <c r="A4" s="107" t="s">
        <v>330</v>
      </c>
      <c r="B4" s="22"/>
      <c r="C4" s="27"/>
      <c r="D4" s="23"/>
      <c r="E4" s="114" t="s">
        <v>300</v>
      </c>
      <c r="F4" s="25"/>
      <c r="G4" s="110" t="s">
        <v>307</v>
      </c>
      <c r="H4" s="23"/>
      <c r="I4" s="27"/>
      <c r="J4" s="22"/>
      <c r="K4" s="27"/>
      <c r="L4" s="22"/>
      <c r="M4" s="115" t="s">
        <v>483</v>
      </c>
      <c r="N4" s="21"/>
      <c r="O4" s="29" t="s">
        <v>480</v>
      </c>
      <c r="P4" s="22"/>
      <c r="Q4" s="107" t="s">
        <v>308</v>
      </c>
      <c r="R4" s="22"/>
      <c r="S4" s="118" t="s">
        <v>321</v>
      </c>
      <c r="T4" s="21"/>
      <c r="U4" s="107" t="s">
        <v>338</v>
      </c>
      <c r="V4" s="22"/>
      <c r="W4" s="118" t="s">
        <v>362</v>
      </c>
      <c r="X4" s="21"/>
      <c r="Y4" s="107" t="s">
        <v>381</v>
      </c>
      <c r="Z4" s="22"/>
      <c r="AA4" s="109" t="s">
        <v>311</v>
      </c>
      <c r="AB4" s="22"/>
      <c r="AC4" s="118" t="s">
        <v>351</v>
      </c>
      <c r="AD4" s="21"/>
      <c r="AE4" s="118" t="s">
        <v>368</v>
      </c>
      <c r="AF4" s="22"/>
      <c r="AG4" s="125">
        <f t="shared" ref="AG4:AG69" ca="1" si="0">AG3+1</f>
        <v>43595</v>
      </c>
      <c r="AH4" s="22"/>
      <c r="AI4" s="22"/>
    </row>
    <row r="5" spans="1:35">
      <c r="A5" s="107" t="s">
        <v>332</v>
      </c>
      <c r="B5" s="22"/>
      <c r="C5" s="27" t="s">
        <v>290</v>
      </c>
      <c r="D5" s="23"/>
      <c r="E5" s="30"/>
      <c r="F5" s="25"/>
      <c r="G5" s="110" t="s">
        <v>499</v>
      </c>
      <c r="H5" s="23"/>
      <c r="I5" s="27" t="s">
        <v>290</v>
      </c>
      <c r="J5" s="22"/>
      <c r="K5" s="27" t="s">
        <v>290</v>
      </c>
      <c r="L5" s="22"/>
      <c r="M5" s="116" t="s">
        <v>484</v>
      </c>
      <c r="N5" s="21"/>
      <c r="O5" s="29" t="s">
        <v>479</v>
      </c>
      <c r="P5" s="22"/>
      <c r="Q5" s="107" t="s">
        <v>310</v>
      </c>
      <c r="R5" s="22"/>
      <c r="S5" s="109" t="s">
        <v>324</v>
      </c>
      <c r="T5" s="22"/>
      <c r="U5" s="118" t="s">
        <v>340</v>
      </c>
      <c r="V5" s="21"/>
      <c r="W5" s="107" t="s">
        <v>363</v>
      </c>
      <c r="X5" s="22"/>
      <c r="Y5" s="118" t="s">
        <v>382</v>
      </c>
      <c r="Z5" s="21"/>
      <c r="AA5" s="27"/>
      <c r="AB5" s="22"/>
      <c r="AC5" s="118" t="s">
        <v>353</v>
      </c>
      <c r="AD5" s="21"/>
      <c r="AE5" s="107" t="s">
        <v>370</v>
      </c>
      <c r="AF5" s="22"/>
      <c r="AG5" s="125">
        <f t="shared" ca="1" si="0"/>
        <v>43596</v>
      </c>
      <c r="AH5" s="22"/>
      <c r="AI5" s="22"/>
    </row>
    <row r="6" spans="1:35">
      <c r="A6" s="107" t="s">
        <v>334</v>
      </c>
      <c r="B6" s="22"/>
      <c r="C6" s="23"/>
      <c r="D6" s="23"/>
      <c r="E6" s="27"/>
      <c r="F6" s="23"/>
      <c r="G6" s="110" t="s">
        <v>312</v>
      </c>
      <c r="H6" s="23"/>
      <c r="I6" s="22"/>
      <c r="J6" s="22"/>
      <c r="K6" s="22"/>
      <c r="L6" s="22"/>
      <c r="M6" s="68"/>
      <c r="N6" s="21"/>
      <c r="O6" s="29" t="s">
        <v>478</v>
      </c>
      <c r="P6" s="22"/>
      <c r="Q6" s="109" t="s">
        <v>313</v>
      </c>
      <c r="R6" s="21"/>
      <c r="S6" s="32"/>
      <c r="T6" s="21"/>
      <c r="U6" s="107" t="s">
        <v>343</v>
      </c>
      <c r="V6" s="22"/>
      <c r="W6" s="107" t="s">
        <v>365</v>
      </c>
      <c r="X6" s="22"/>
      <c r="Y6" s="107" t="s">
        <v>383</v>
      </c>
      <c r="Z6" s="22"/>
      <c r="AB6" s="22"/>
      <c r="AC6" s="119" t="s">
        <v>355</v>
      </c>
      <c r="AD6" s="21"/>
      <c r="AE6" s="107" t="s">
        <v>372</v>
      </c>
      <c r="AF6" s="22"/>
      <c r="AG6" s="125">
        <f t="shared" ca="1" si="0"/>
        <v>43597</v>
      </c>
      <c r="AH6" s="22"/>
      <c r="AI6" s="22"/>
    </row>
    <row r="7" spans="1:35">
      <c r="A7" s="107" t="s">
        <v>610</v>
      </c>
      <c r="B7" s="22"/>
      <c r="C7" s="23"/>
      <c r="D7" s="23"/>
      <c r="E7" s="27" t="s">
        <v>290</v>
      </c>
      <c r="F7" s="23"/>
      <c r="G7" s="110" t="s">
        <v>498</v>
      </c>
      <c r="H7" s="23"/>
      <c r="I7" s="22"/>
      <c r="J7" s="22"/>
      <c r="K7" s="22"/>
      <c r="L7" s="22"/>
      <c r="M7" s="68" t="s">
        <v>290</v>
      </c>
      <c r="N7" s="21"/>
      <c r="O7" s="29" t="s">
        <v>477</v>
      </c>
      <c r="P7" s="22"/>
      <c r="Q7" s="32"/>
      <c r="R7" s="22"/>
      <c r="S7" s="27"/>
      <c r="T7" s="22"/>
      <c r="U7" s="107" t="s">
        <v>345</v>
      </c>
      <c r="V7" s="22"/>
      <c r="W7" s="118" t="s">
        <v>367</v>
      </c>
      <c r="X7" s="21"/>
      <c r="Y7" s="107" t="s">
        <v>384</v>
      </c>
      <c r="Z7" s="22"/>
      <c r="AA7" s="27" t="s">
        <v>290</v>
      </c>
      <c r="AB7" s="22"/>
      <c r="AC7" s="27"/>
      <c r="AD7" s="22"/>
      <c r="AE7" s="107" t="s">
        <v>374</v>
      </c>
      <c r="AF7" s="22"/>
      <c r="AG7" s="125">
        <f t="shared" ca="1" si="0"/>
        <v>43598</v>
      </c>
      <c r="AH7" s="22"/>
      <c r="AI7" s="22"/>
    </row>
    <row r="8" spans="1:35">
      <c r="A8" s="107" t="s">
        <v>320</v>
      </c>
      <c r="B8" s="22"/>
      <c r="C8" s="23"/>
      <c r="D8" s="23"/>
      <c r="E8" s="23"/>
      <c r="F8" s="23"/>
      <c r="G8" s="110" t="s">
        <v>314</v>
      </c>
      <c r="H8" s="23"/>
      <c r="I8" s="22"/>
      <c r="J8" s="22"/>
      <c r="K8" s="22"/>
      <c r="L8" s="22"/>
      <c r="N8" s="21"/>
      <c r="O8" s="29" t="s">
        <v>476</v>
      </c>
      <c r="P8" s="22"/>
      <c r="Q8" s="27"/>
      <c r="R8" s="22"/>
      <c r="S8" s="27" t="s">
        <v>290</v>
      </c>
      <c r="T8" s="22"/>
      <c r="U8" s="118" t="s">
        <v>347</v>
      </c>
      <c r="V8" s="21"/>
      <c r="W8" s="107" t="s">
        <v>369</v>
      </c>
      <c r="X8" s="22"/>
      <c r="Y8" s="118" t="s">
        <v>385</v>
      </c>
      <c r="Z8" s="21"/>
      <c r="AA8" s="22"/>
      <c r="AB8" s="22"/>
      <c r="AD8" s="22"/>
      <c r="AE8" s="107" t="s">
        <v>376</v>
      </c>
      <c r="AF8" s="22"/>
      <c r="AG8" s="125">
        <f t="shared" ca="1" si="0"/>
        <v>43599</v>
      </c>
      <c r="AH8" s="22"/>
      <c r="AI8" s="22"/>
    </row>
    <row r="9" spans="1:35">
      <c r="A9" s="107" t="s">
        <v>337</v>
      </c>
      <c r="B9" s="22"/>
      <c r="C9" s="23"/>
      <c r="D9" s="23"/>
      <c r="E9" s="23"/>
      <c r="F9" s="23"/>
      <c r="G9" s="110" t="s">
        <v>500</v>
      </c>
      <c r="H9" s="23"/>
      <c r="I9" s="22"/>
      <c r="J9" s="22"/>
      <c r="K9" s="22"/>
      <c r="L9" s="22"/>
      <c r="M9" s="22"/>
      <c r="N9" s="21"/>
      <c r="O9" s="29" t="s">
        <v>475</v>
      </c>
      <c r="P9" s="22"/>
      <c r="Q9" s="27" t="s">
        <v>290</v>
      </c>
      <c r="R9" s="22"/>
      <c r="S9" s="22"/>
      <c r="T9" s="22"/>
      <c r="U9" s="118" t="s">
        <v>350</v>
      </c>
      <c r="V9" s="21"/>
      <c r="W9" s="118" t="s">
        <v>371</v>
      </c>
      <c r="X9" s="21"/>
      <c r="Y9" s="118" t="s">
        <v>386</v>
      </c>
      <c r="Z9" s="21"/>
      <c r="AA9" s="22"/>
      <c r="AB9" s="22"/>
      <c r="AC9" s="27" t="s">
        <v>290</v>
      </c>
      <c r="AD9" s="22"/>
      <c r="AE9" s="109" t="s">
        <v>377</v>
      </c>
      <c r="AF9" s="22"/>
      <c r="AG9" s="125">
        <f t="shared" ca="1" si="0"/>
        <v>43600</v>
      </c>
      <c r="AH9" s="22"/>
      <c r="AI9" s="22"/>
    </row>
    <row r="10" spans="1:35">
      <c r="A10" s="107" t="s">
        <v>326</v>
      </c>
      <c r="B10" s="22"/>
      <c r="C10" s="23"/>
      <c r="D10" s="23"/>
      <c r="E10" s="23"/>
      <c r="F10" s="23"/>
      <c r="G10" s="110" t="s">
        <v>316</v>
      </c>
      <c r="H10" s="23"/>
      <c r="I10" s="22"/>
      <c r="J10" s="22"/>
      <c r="K10" s="22"/>
      <c r="L10" s="22"/>
      <c r="M10" s="22"/>
      <c r="N10" s="21"/>
      <c r="O10" s="29" t="s">
        <v>474</v>
      </c>
      <c r="P10" s="22"/>
      <c r="Q10" s="22"/>
      <c r="R10" s="22"/>
      <c r="S10" s="22"/>
      <c r="T10" s="22"/>
      <c r="U10" s="109" t="s">
        <v>352</v>
      </c>
      <c r="V10" s="22"/>
      <c r="W10" s="107" t="s">
        <v>373</v>
      </c>
      <c r="X10" s="22"/>
      <c r="Y10" s="118" t="s">
        <v>387</v>
      </c>
      <c r="Z10" s="21"/>
      <c r="AA10" s="22"/>
      <c r="AB10" s="22"/>
      <c r="AC10" s="22"/>
      <c r="AD10" s="22"/>
      <c r="AE10" s="27"/>
      <c r="AF10" s="22"/>
      <c r="AG10" s="125">
        <f t="shared" ca="1" si="0"/>
        <v>43601</v>
      </c>
      <c r="AH10" s="22"/>
      <c r="AI10" s="22"/>
    </row>
    <row r="11" spans="1:35">
      <c r="A11" s="109" t="s">
        <v>328</v>
      </c>
      <c r="B11" s="22"/>
      <c r="C11" s="23"/>
      <c r="D11" s="23"/>
      <c r="E11" s="23"/>
      <c r="F11" s="23"/>
      <c r="G11" s="110" t="s">
        <v>501</v>
      </c>
      <c r="H11" s="23"/>
      <c r="I11" s="22"/>
      <c r="J11" s="22"/>
      <c r="K11" s="22"/>
      <c r="L11" s="22"/>
      <c r="M11" s="22"/>
      <c r="N11" s="21"/>
      <c r="O11" s="117" t="s">
        <v>473</v>
      </c>
      <c r="P11" s="22"/>
      <c r="Q11" s="22"/>
      <c r="R11" s="22"/>
      <c r="S11" s="22"/>
      <c r="T11" s="22"/>
      <c r="U11" s="27"/>
      <c r="V11" s="22"/>
      <c r="W11" s="119" t="s">
        <v>375</v>
      </c>
      <c r="X11" s="21"/>
      <c r="Y11" s="118" t="s">
        <v>388</v>
      </c>
      <c r="Z11" s="21"/>
      <c r="AA11" s="22"/>
      <c r="AB11" s="22"/>
      <c r="AC11" s="22"/>
      <c r="AD11" s="22"/>
      <c r="AF11" s="22"/>
      <c r="AG11" s="125">
        <f t="shared" ca="1" si="0"/>
        <v>43602</v>
      </c>
      <c r="AH11" s="22"/>
      <c r="AI11" s="22"/>
    </row>
    <row r="12" spans="1:35">
      <c r="A12" s="109" t="s">
        <v>322</v>
      </c>
      <c r="B12" s="22"/>
      <c r="C12" s="23"/>
      <c r="D12" s="23"/>
      <c r="E12" s="23"/>
      <c r="F12" s="23"/>
      <c r="G12" s="110" t="s">
        <v>318</v>
      </c>
      <c r="H12" s="23"/>
      <c r="I12" s="22"/>
      <c r="J12" s="22"/>
      <c r="K12" s="22"/>
      <c r="L12" s="22"/>
      <c r="M12" s="22"/>
      <c r="N12" s="21"/>
      <c r="O12" s="22"/>
      <c r="P12" s="22"/>
      <c r="Q12" s="22"/>
      <c r="R12" s="22"/>
      <c r="S12" s="22"/>
      <c r="T12" s="22"/>
      <c r="U12" s="27"/>
      <c r="V12" s="22"/>
      <c r="W12" s="27"/>
      <c r="X12" s="22"/>
      <c r="Y12" s="107" t="s">
        <v>389</v>
      </c>
      <c r="Z12" s="22"/>
      <c r="AA12" s="22"/>
      <c r="AB12" s="22"/>
      <c r="AC12" s="22"/>
      <c r="AD12" s="22"/>
      <c r="AE12" s="27" t="s">
        <v>290</v>
      </c>
      <c r="AF12" s="22"/>
      <c r="AG12" s="125">
        <f t="shared" ca="1" si="0"/>
        <v>43603</v>
      </c>
      <c r="AH12" s="22"/>
      <c r="AI12" s="22"/>
    </row>
    <row r="13" spans="1:35">
      <c r="A13" s="27"/>
      <c r="B13" s="22"/>
      <c r="C13" s="23"/>
      <c r="D13" s="23"/>
      <c r="E13" s="23"/>
      <c r="F13" s="23"/>
      <c r="G13" s="110" t="s">
        <v>502</v>
      </c>
      <c r="H13" s="23"/>
      <c r="I13" s="22"/>
      <c r="J13" s="22"/>
      <c r="K13" s="22"/>
      <c r="L13" s="22"/>
      <c r="M13" s="22"/>
      <c r="N13" s="21"/>
      <c r="O13" s="22"/>
      <c r="P13" s="22"/>
      <c r="Q13" s="22"/>
      <c r="R13" s="22"/>
      <c r="S13" s="22"/>
      <c r="T13" s="22"/>
      <c r="U13" s="27"/>
      <c r="V13" s="22"/>
      <c r="X13" s="22"/>
      <c r="Y13" s="118" t="s">
        <v>390</v>
      </c>
      <c r="Z13" s="21"/>
      <c r="AA13" s="22"/>
      <c r="AB13" s="22"/>
      <c r="AC13" s="22"/>
      <c r="AD13" s="22"/>
      <c r="AE13" s="22"/>
      <c r="AF13" s="22"/>
      <c r="AG13" s="125">
        <f t="shared" ca="1" si="0"/>
        <v>43604</v>
      </c>
      <c r="AH13" s="22"/>
      <c r="AI13" s="22"/>
    </row>
    <row r="14" spans="1:35">
      <c r="A14" s="27"/>
      <c r="B14" s="22"/>
      <c r="C14" s="23"/>
      <c r="D14" s="23"/>
      <c r="E14" s="23"/>
      <c r="F14" s="23"/>
      <c r="G14" s="110" t="s">
        <v>323</v>
      </c>
      <c r="H14" s="23"/>
      <c r="I14" s="22"/>
      <c r="J14" s="22"/>
      <c r="K14" s="22"/>
      <c r="L14" s="22"/>
      <c r="M14" s="22"/>
      <c r="N14" s="21"/>
      <c r="O14" s="22"/>
      <c r="P14" s="22"/>
      <c r="Q14" s="22"/>
      <c r="R14" s="22"/>
      <c r="S14" s="22"/>
      <c r="T14" s="22"/>
      <c r="U14" s="27"/>
      <c r="V14" s="22"/>
      <c r="W14" s="27" t="s">
        <v>290</v>
      </c>
      <c r="X14" s="22"/>
      <c r="Y14" s="118" t="s">
        <v>391</v>
      </c>
      <c r="Z14" s="21"/>
      <c r="AA14" s="22"/>
      <c r="AB14" s="22"/>
      <c r="AC14" s="22"/>
      <c r="AD14" s="22"/>
      <c r="AE14" s="22"/>
      <c r="AF14" s="22"/>
      <c r="AG14" s="125">
        <f t="shared" ca="1" si="0"/>
        <v>43605</v>
      </c>
      <c r="AH14" s="22"/>
      <c r="AI14" s="22"/>
    </row>
    <row r="15" spans="1:35">
      <c r="A15" s="27"/>
      <c r="B15" s="22"/>
      <c r="C15" s="23"/>
      <c r="D15" s="23"/>
      <c r="E15" s="23"/>
      <c r="F15" s="23"/>
      <c r="G15" s="110" t="s">
        <v>503</v>
      </c>
      <c r="H15" s="23"/>
      <c r="I15" s="22"/>
      <c r="J15" s="22"/>
      <c r="K15" s="22"/>
      <c r="L15" s="22"/>
      <c r="M15" s="22"/>
      <c r="N15" s="21"/>
      <c r="O15" s="22"/>
      <c r="P15" s="22"/>
      <c r="Q15" s="22"/>
      <c r="R15" s="22"/>
      <c r="S15" s="22"/>
      <c r="T15" s="22"/>
      <c r="U15" s="27"/>
      <c r="V15" s="22"/>
      <c r="W15" s="22"/>
      <c r="X15" s="22"/>
      <c r="Y15" s="107" t="s">
        <v>392</v>
      </c>
      <c r="Z15" s="22"/>
      <c r="AA15" s="22"/>
      <c r="AB15" s="22"/>
      <c r="AC15" s="22"/>
      <c r="AD15" s="22"/>
      <c r="AE15" s="22"/>
      <c r="AF15" s="22"/>
      <c r="AG15" s="125">
        <f t="shared" ca="1" si="0"/>
        <v>43606</v>
      </c>
      <c r="AH15" s="22"/>
      <c r="AI15" s="22"/>
    </row>
    <row r="16" spans="1:35">
      <c r="A16" s="27"/>
      <c r="B16" s="22"/>
      <c r="C16" s="23"/>
      <c r="D16" s="23"/>
      <c r="E16" s="23"/>
      <c r="F16" s="23"/>
      <c r="G16" s="110" t="s">
        <v>327</v>
      </c>
      <c r="H16" s="23"/>
      <c r="I16" s="22"/>
      <c r="J16" s="22"/>
      <c r="K16" s="22"/>
      <c r="L16" s="22"/>
      <c r="M16" s="22"/>
      <c r="N16" s="21"/>
      <c r="O16" s="22"/>
      <c r="P16" s="22"/>
      <c r="Q16" s="22"/>
      <c r="R16" s="22"/>
      <c r="S16" s="22"/>
      <c r="T16" s="22"/>
      <c r="U16" s="27"/>
      <c r="V16" s="22"/>
      <c r="W16" s="22"/>
      <c r="X16" s="22"/>
      <c r="Y16" s="118" t="s">
        <v>393</v>
      </c>
      <c r="Z16" s="21"/>
      <c r="AA16" s="22"/>
      <c r="AB16" s="22"/>
      <c r="AC16" s="22"/>
      <c r="AD16" s="22"/>
      <c r="AE16" s="22"/>
      <c r="AF16" s="22"/>
      <c r="AG16" s="125">
        <f t="shared" ca="1" si="0"/>
        <v>43607</v>
      </c>
      <c r="AH16" s="22"/>
      <c r="AI16" s="22"/>
    </row>
    <row r="17" spans="1:35">
      <c r="A17" s="27"/>
      <c r="B17" s="22"/>
      <c r="C17" s="23"/>
      <c r="D17" s="23"/>
      <c r="E17" s="23"/>
      <c r="F17" s="23"/>
      <c r="G17" s="110" t="s">
        <v>504</v>
      </c>
      <c r="H17" s="23"/>
      <c r="I17" s="22"/>
      <c r="J17" s="22"/>
      <c r="K17" s="22"/>
      <c r="L17" s="22"/>
      <c r="M17" s="22"/>
      <c r="N17" s="21"/>
      <c r="O17" s="22"/>
      <c r="P17" s="22"/>
      <c r="Q17" s="22"/>
      <c r="R17" s="22"/>
      <c r="S17" s="22"/>
      <c r="T17" s="22"/>
      <c r="U17" s="27"/>
      <c r="V17" s="22"/>
      <c r="W17" s="22"/>
      <c r="X17" s="22"/>
      <c r="Y17" s="107" t="s">
        <v>394</v>
      </c>
      <c r="Z17" s="22"/>
      <c r="AA17" s="22"/>
      <c r="AB17" s="22"/>
      <c r="AC17" s="22"/>
      <c r="AD17" s="22"/>
      <c r="AE17" s="22"/>
      <c r="AF17" s="22"/>
      <c r="AG17" s="125">
        <f t="shared" ca="1" si="0"/>
        <v>43608</v>
      </c>
      <c r="AH17" s="22"/>
      <c r="AI17" s="22"/>
    </row>
    <row r="18" spans="1:35">
      <c r="A18" s="27"/>
      <c r="B18" s="22"/>
      <c r="C18" s="23"/>
      <c r="D18" s="23"/>
      <c r="E18" s="23"/>
      <c r="F18" s="23"/>
      <c r="G18" s="110" t="s">
        <v>331</v>
      </c>
      <c r="H18" s="23"/>
      <c r="I18" s="22"/>
      <c r="J18" s="22"/>
      <c r="K18" s="22"/>
      <c r="L18" s="22"/>
      <c r="M18" s="22"/>
      <c r="N18" s="21"/>
      <c r="O18" s="22"/>
      <c r="P18" s="22"/>
      <c r="Q18" s="22"/>
      <c r="R18" s="22"/>
      <c r="S18" s="22"/>
      <c r="T18" s="22"/>
      <c r="U18" s="27"/>
      <c r="V18" s="22"/>
      <c r="W18" s="22"/>
      <c r="X18" s="22"/>
      <c r="Y18" s="118" t="s">
        <v>395</v>
      </c>
      <c r="Z18" s="21"/>
      <c r="AA18" s="22"/>
      <c r="AB18" s="22"/>
      <c r="AC18" s="22"/>
      <c r="AD18" s="22"/>
      <c r="AE18" s="22"/>
      <c r="AF18" s="22"/>
      <c r="AG18" s="125">
        <f t="shared" ca="1" si="0"/>
        <v>43609</v>
      </c>
      <c r="AH18" s="22"/>
      <c r="AI18" s="22"/>
    </row>
    <row r="19" spans="1:35">
      <c r="A19" s="27"/>
      <c r="B19" s="22"/>
      <c r="C19" s="23"/>
      <c r="D19" s="23"/>
      <c r="E19" s="23"/>
      <c r="F19" s="23"/>
      <c r="G19" s="110" t="s">
        <v>505</v>
      </c>
      <c r="H19" s="23"/>
      <c r="I19" s="22"/>
      <c r="J19" s="22"/>
      <c r="K19" s="22"/>
      <c r="L19" s="22"/>
      <c r="M19" s="22"/>
      <c r="N19" s="21"/>
      <c r="O19" s="22"/>
      <c r="P19" s="22"/>
      <c r="Q19" s="22"/>
      <c r="R19" s="22"/>
      <c r="S19" s="22"/>
      <c r="T19" s="22"/>
      <c r="U19" s="27"/>
      <c r="V19" s="22"/>
      <c r="W19" s="22"/>
      <c r="X19" s="22"/>
      <c r="Y19" s="109" t="s">
        <v>396</v>
      </c>
      <c r="Z19" s="22"/>
      <c r="AA19" s="22"/>
      <c r="AB19" s="22"/>
      <c r="AC19" s="22"/>
      <c r="AD19" s="22"/>
      <c r="AE19" s="22"/>
      <c r="AF19" s="22"/>
      <c r="AG19" s="125">
        <f t="shared" ca="1" si="0"/>
        <v>43610</v>
      </c>
      <c r="AH19" s="22"/>
      <c r="AI19" s="22"/>
    </row>
    <row r="20" spans="1:35">
      <c r="A20" s="27" t="s">
        <v>290</v>
      </c>
      <c r="B20" s="22"/>
      <c r="C20" s="23"/>
      <c r="D20" s="23"/>
      <c r="E20" s="23"/>
      <c r="F20" s="23"/>
      <c r="G20" s="110" t="s">
        <v>335</v>
      </c>
      <c r="H20" s="23"/>
      <c r="I20" s="22"/>
      <c r="J20" s="22"/>
      <c r="K20" s="22"/>
      <c r="L20" s="22"/>
      <c r="M20" s="22"/>
      <c r="N20" s="21"/>
      <c r="O20" s="22"/>
      <c r="P20" s="22"/>
      <c r="Q20" s="22"/>
      <c r="R20" s="22"/>
      <c r="S20" s="22"/>
      <c r="T20" s="22"/>
      <c r="U20" s="27"/>
      <c r="V20" s="22"/>
      <c r="W20" s="22"/>
      <c r="X20" s="22"/>
      <c r="Y20" s="32"/>
      <c r="Z20" s="21"/>
      <c r="AA20" s="22"/>
      <c r="AB20" s="22"/>
      <c r="AC20" s="22"/>
      <c r="AD20" s="22"/>
      <c r="AE20" s="22"/>
      <c r="AF20" s="22"/>
      <c r="AG20" s="125">
        <f t="shared" ca="1" si="0"/>
        <v>43611</v>
      </c>
      <c r="AH20" s="22"/>
      <c r="AI20" s="22"/>
    </row>
    <row r="21" spans="1:35">
      <c r="A21" s="22"/>
      <c r="B21" s="22"/>
      <c r="C21" s="23"/>
      <c r="D21" s="23"/>
      <c r="E21" s="23"/>
      <c r="F21" s="23"/>
      <c r="G21" s="110" t="s">
        <v>506</v>
      </c>
      <c r="H21" s="23"/>
      <c r="I21" s="22"/>
      <c r="J21" s="22"/>
      <c r="K21" s="22"/>
      <c r="L21" s="22"/>
      <c r="M21" s="22"/>
      <c r="N21" s="21"/>
      <c r="O21" s="22"/>
      <c r="P21" s="22"/>
      <c r="Q21" s="22"/>
      <c r="R21" s="22"/>
      <c r="S21" s="22"/>
      <c r="T21" s="22"/>
      <c r="U21" s="27"/>
      <c r="V21" s="22"/>
      <c r="W21" s="22"/>
      <c r="X21" s="22"/>
      <c r="Z21" s="22"/>
      <c r="AA21" s="22"/>
      <c r="AB21" s="22"/>
      <c r="AC21" s="22"/>
      <c r="AD21" s="22"/>
      <c r="AE21" s="22"/>
      <c r="AF21" s="22"/>
      <c r="AG21" s="125">
        <f t="shared" ca="1" si="0"/>
        <v>43612</v>
      </c>
      <c r="AH21" s="22"/>
      <c r="AI21" s="22"/>
    </row>
    <row r="22" spans="1:35">
      <c r="A22" s="22"/>
      <c r="B22" s="22"/>
      <c r="C22" s="23"/>
      <c r="D22" s="23"/>
      <c r="E22" s="23"/>
      <c r="F22" s="23"/>
      <c r="G22" s="110" t="s">
        <v>339</v>
      </c>
      <c r="H22" s="23"/>
      <c r="I22" s="22"/>
      <c r="J22" s="22"/>
      <c r="K22" s="22"/>
      <c r="L22" s="22"/>
      <c r="M22" s="22"/>
      <c r="N22" s="21"/>
      <c r="O22" s="22"/>
      <c r="P22" s="22"/>
      <c r="Q22" s="22"/>
      <c r="R22" s="22"/>
      <c r="S22" s="22"/>
      <c r="T22" s="22"/>
      <c r="U22" s="27" t="s">
        <v>290</v>
      </c>
      <c r="V22" s="22"/>
      <c r="X22" s="22"/>
      <c r="Y22" s="27" t="s">
        <v>290</v>
      </c>
      <c r="Z22" s="22"/>
      <c r="AA22" s="22"/>
      <c r="AB22" s="22"/>
      <c r="AC22" s="22"/>
      <c r="AD22" s="22"/>
      <c r="AE22" s="22"/>
      <c r="AF22" s="22"/>
      <c r="AG22" s="125">
        <f t="shared" ca="1" si="0"/>
        <v>43613</v>
      </c>
      <c r="AH22" s="22"/>
      <c r="AI22" s="22"/>
    </row>
    <row r="23" spans="1:35">
      <c r="A23" s="22"/>
      <c r="B23" s="22"/>
      <c r="C23" s="23"/>
      <c r="D23" s="23"/>
      <c r="E23" s="23"/>
      <c r="F23" s="23"/>
      <c r="G23" s="110" t="s">
        <v>507</v>
      </c>
      <c r="H23" s="23"/>
      <c r="I23" s="22"/>
      <c r="J23" s="22"/>
      <c r="K23" s="22"/>
      <c r="L23" s="22"/>
      <c r="M23" s="22"/>
      <c r="N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125">
        <f t="shared" ca="1" si="0"/>
        <v>43614</v>
      </c>
      <c r="AH23" s="22"/>
      <c r="AI23" s="22"/>
    </row>
    <row r="24" spans="1:35">
      <c r="A24" s="22"/>
      <c r="B24" s="22"/>
      <c r="C24" s="23"/>
      <c r="D24" s="23"/>
      <c r="E24" s="23"/>
      <c r="F24" s="23"/>
      <c r="G24" s="110" t="s">
        <v>344</v>
      </c>
      <c r="H24" s="23"/>
      <c r="I24" s="22"/>
      <c r="J24" s="22"/>
      <c r="K24" s="22"/>
      <c r="L24" s="22"/>
      <c r="M24" s="22"/>
      <c r="N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125">
        <f t="shared" ca="1" si="0"/>
        <v>43615</v>
      </c>
      <c r="AH24" s="22"/>
      <c r="AI24" s="22"/>
    </row>
    <row r="25" spans="1:35">
      <c r="A25" s="22"/>
      <c r="B25" s="22"/>
      <c r="C25" s="23"/>
      <c r="D25" s="23"/>
      <c r="E25" s="23"/>
      <c r="F25" s="23"/>
      <c r="G25" s="110" t="s">
        <v>508</v>
      </c>
      <c r="H25" s="23"/>
      <c r="I25" s="22"/>
      <c r="J25" s="22"/>
      <c r="K25" s="22"/>
      <c r="L25" s="22"/>
      <c r="M25" s="22"/>
      <c r="N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125">
        <f t="shared" ca="1" si="0"/>
        <v>43616</v>
      </c>
      <c r="AH25" s="22"/>
      <c r="AI25" s="22"/>
    </row>
    <row r="26" spans="1:35">
      <c r="A26" s="22"/>
      <c r="B26" s="22"/>
      <c r="C26" s="23"/>
      <c r="D26" s="23"/>
      <c r="E26" s="23"/>
      <c r="F26" s="23"/>
      <c r="G26" s="110" t="s">
        <v>349</v>
      </c>
      <c r="H26" s="23"/>
      <c r="I26" s="22"/>
      <c r="J26" s="22"/>
      <c r="K26" s="22"/>
      <c r="L26" s="22"/>
      <c r="M26" s="22"/>
      <c r="N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125">
        <f t="shared" ca="1" si="0"/>
        <v>43617</v>
      </c>
      <c r="AH26" s="22"/>
      <c r="AI26" s="22"/>
    </row>
    <row r="27" spans="1:35">
      <c r="A27" s="22"/>
      <c r="B27" s="22"/>
      <c r="C27" s="23"/>
      <c r="D27" s="23"/>
      <c r="E27" s="23"/>
      <c r="F27" s="23"/>
      <c r="G27" s="110" t="s">
        <v>509</v>
      </c>
      <c r="H27" s="23"/>
      <c r="I27" s="22"/>
      <c r="J27" s="22"/>
      <c r="K27" s="22"/>
      <c r="L27" s="22"/>
      <c r="M27" s="22"/>
      <c r="N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125">
        <f t="shared" ca="1" si="0"/>
        <v>43618</v>
      </c>
      <c r="AH27" s="22"/>
      <c r="AI27" s="22"/>
    </row>
    <row r="28" spans="1:35">
      <c r="A28" s="22"/>
      <c r="B28" s="22"/>
      <c r="C28" s="23"/>
      <c r="D28" s="23"/>
      <c r="E28" s="23"/>
      <c r="F28" s="23"/>
      <c r="G28" s="110" t="s">
        <v>354</v>
      </c>
      <c r="H28" s="23"/>
      <c r="I28" s="22"/>
      <c r="J28" s="22"/>
      <c r="K28" s="22"/>
      <c r="L28" s="22"/>
      <c r="M28" s="22"/>
      <c r="N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125">
        <f t="shared" ca="1" si="0"/>
        <v>43619</v>
      </c>
      <c r="AH28" s="22"/>
      <c r="AI28" s="22"/>
    </row>
    <row r="29" spans="1:35">
      <c r="A29" s="22"/>
      <c r="B29" s="22"/>
      <c r="C29" s="23"/>
      <c r="D29" s="23"/>
      <c r="E29" s="23"/>
      <c r="F29" s="23"/>
      <c r="G29" s="110" t="s">
        <v>510</v>
      </c>
      <c r="H29" s="23"/>
      <c r="I29" s="22"/>
      <c r="J29" s="22"/>
      <c r="K29" s="22"/>
      <c r="L29" s="22"/>
      <c r="M29" s="22"/>
      <c r="N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125">
        <f t="shared" ca="1" si="0"/>
        <v>43620</v>
      </c>
      <c r="AH29" s="22"/>
      <c r="AI29" s="22"/>
    </row>
    <row r="30" spans="1:35">
      <c r="A30" s="22"/>
      <c r="B30" s="22"/>
      <c r="C30" s="23"/>
      <c r="D30" s="23"/>
      <c r="E30" s="23"/>
      <c r="F30" s="23"/>
      <c r="G30" s="110" t="s">
        <v>357</v>
      </c>
      <c r="H30" s="23"/>
      <c r="I30" s="22"/>
      <c r="J30" s="22"/>
      <c r="K30" s="22"/>
      <c r="L30" s="22"/>
      <c r="M30" s="22"/>
      <c r="N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125">
        <f t="shared" ca="1" si="0"/>
        <v>43621</v>
      </c>
      <c r="AH30" s="22"/>
      <c r="AI30" s="22"/>
    </row>
    <row r="31" spans="1:35">
      <c r="A31" s="22"/>
      <c r="B31" s="22"/>
      <c r="C31" s="23"/>
      <c r="D31" s="23"/>
      <c r="E31" s="23"/>
      <c r="F31" s="23"/>
      <c r="G31" s="110" t="s">
        <v>511</v>
      </c>
      <c r="H31" s="23"/>
      <c r="I31" s="22"/>
      <c r="J31" s="22"/>
      <c r="K31" s="22"/>
      <c r="L31" s="22"/>
      <c r="M31" s="22"/>
      <c r="N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125">
        <f t="shared" ca="1" si="0"/>
        <v>43622</v>
      </c>
      <c r="AH31" s="22"/>
      <c r="AI31" s="22"/>
    </row>
    <row r="32" spans="1:35">
      <c r="A32" s="22"/>
      <c r="B32" s="22"/>
      <c r="C32" s="23"/>
      <c r="D32" s="23"/>
      <c r="E32" s="23"/>
      <c r="F32" s="23"/>
      <c r="G32" s="110" t="s">
        <v>359</v>
      </c>
      <c r="H32" s="23"/>
      <c r="I32" s="22"/>
      <c r="J32" s="22"/>
      <c r="K32" s="22"/>
      <c r="L32" s="22"/>
      <c r="M32" s="22"/>
      <c r="N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125">
        <f t="shared" ca="1" si="0"/>
        <v>43623</v>
      </c>
      <c r="AH32" s="22"/>
      <c r="AI32" s="22"/>
    </row>
    <row r="33" spans="1:35">
      <c r="A33" s="22"/>
      <c r="B33" s="22"/>
      <c r="C33" s="23"/>
      <c r="D33" s="23"/>
      <c r="E33" s="23"/>
      <c r="F33" s="23"/>
      <c r="G33" s="112" t="s">
        <v>512</v>
      </c>
      <c r="H33" s="23"/>
      <c r="I33" s="22"/>
      <c r="J33" s="22"/>
      <c r="K33" s="22"/>
      <c r="L33" s="22"/>
      <c r="M33" s="22"/>
      <c r="N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125">
        <f t="shared" ca="1" si="0"/>
        <v>43624</v>
      </c>
      <c r="AH33" s="22"/>
      <c r="AI33" s="22"/>
    </row>
    <row r="34" spans="1:35">
      <c r="A34" s="22"/>
      <c r="B34" s="22"/>
      <c r="C34" s="23"/>
      <c r="D34" s="23"/>
      <c r="E34" s="23"/>
      <c r="F34" s="23"/>
      <c r="G34" s="29"/>
      <c r="H34" s="23"/>
      <c r="I34" s="22"/>
      <c r="J34" s="22"/>
      <c r="K34" s="22"/>
      <c r="L34" s="22"/>
      <c r="M34" s="22"/>
      <c r="N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125">
        <f t="shared" ca="1" si="0"/>
        <v>43625</v>
      </c>
      <c r="AH34" s="22"/>
      <c r="AI34" s="22"/>
    </row>
    <row r="35" spans="1:35">
      <c r="A35" s="22"/>
      <c r="B35" s="22"/>
      <c r="C35" s="23"/>
      <c r="D35" s="23"/>
      <c r="E35" s="23"/>
      <c r="F35" s="23"/>
      <c r="G35" s="27" t="s">
        <v>290</v>
      </c>
      <c r="H35" s="23"/>
      <c r="I35" s="22"/>
      <c r="J35" s="22"/>
      <c r="K35" s="22"/>
      <c r="L35" s="22"/>
      <c r="M35" s="22"/>
      <c r="N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125">
        <f t="shared" ca="1" si="0"/>
        <v>43626</v>
      </c>
      <c r="AH35" s="22"/>
      <c r="AI35" s="22"/>
    </row>
    <row r="36" spans="1:35">
      <c r="A36" s="22"/>
      <c r="B36" s="22"/>
      <c r="C36" s="23"/>
      <c r="D36" s="23"/>
      <c r="E36" s="23"/>
      <c r="F36" s="23"/>
      <c r="G36" s="29" t="s">
        <v>342</v>
      </c>
      <c r="H36" s="23"/>
      <c r="I36" s="22"/>
      <c r="J36" s="22"/>
      <c r="K36" s="22"/>
      <c r="L36" s="22"/>
      <c r="M36" s="22"/>
      <c r="N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125">
        <f t="shared" ca="1" si="0"/>
        <v>43627</v>
      </c>
      <c r="AH36" s="22"/>
      <c r="AI36" s="22"/>
    </row>
    <row r="37" spans="1:35">
      <c r="A37" s="22"/>
      <c r="B37" s="22"/>
      <c r="C37" s="23"/>
      <c r="D37" s="23"/>
      <c r="E37" s="23"/>
      <c r="F37" s="23"/>
      <c r="G37" s="29"/>
      <c r="H37" s="23"/>
      <c r="I37" s="22"/>
      <c r="J37" s="22"/>
      <c r="K37" s="22"/>
      <c r="L37" s="22"/>
      <c r="M37" s="22"/>
      <c r="N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125">
        <f t="shared" ca="1" si="0"/>
        <v>43628</v>
      </c>
      <c r="AH37" s="22"/>
      <c r="AI37" s="22"/>
    </row>
    <row r="38" spans="1:35">
      <c r="A38" s="22"/>
      <c r="B38" s="22"/>
      <c r="C38" s="23"/>
      <c r="D38" s="23"/>
      <c r="E38" s="23"/>
      <c r="F38" s="23"/>
      <c r="G38" s="29"/>
      <c r="H38" s="23"/>
      <c r="I38" s="22"/>
      <c r="J38" s="22"/>
      <c r="K38" s="22"/>
      <c r="L38" s="22"/>
      <c r="M38" s="22"/>
      <c r="N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125">
        <f t="shared" ca="1" si="0"/>
        <v>43629</v>
      </c>
      <c r="AH38" s="22"/>
      <c r="AI38" s="22"/>
    </row>
    <row r="39" spans="1:35">
      <c r="A39" s="22"/>
      <c r="B39" s="22"/>
      <c r="C39" s="23"/>
      <c r="D39" s="23"/>
      <c r="E39" s="23"/>
      <c r="F39" s="23"/>
      <c r="H39" s="23"/>
      <c r="I39" s="22"/>
      <c r="J39" s="22"/>
      <c r="K39" s="22"/>
      <c r="L39" s="22"/>
      <c r="M39" s="22"/>
      <c r="N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125">
        <f t="shared" ca="1" si="0"/>
        <v>43630</v>
      </c>
      <c r="AH39" s="22"/>
      <c r="AI39" s="22"/>
    </row>
    <row r="40" spans="1:35">
      <c r="A40" s="22"/>
      <c r="B40" s="22"/>
      <c r="C40" s="23"/>
      <c r="D40" s="23"/>
      <c r="E40" s="23"/>
      <c r="F40" s="23"/>
      <c r="G40" s="23"/>
      <c r="H40" s="23"/>
      <c r="I40" s="22"/>
      <c r="J40" s="22"/>
      <c r="K40" s="22"/>
      <c r="L40" s="22"/>
      <c r="M40" s="22"/>
      <c r="N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125">
        <f t="shared" ca="1" si="0"/>
        <v>43631</v>
      </c>
      <c r="AH40" s="22"/>
      <c r="AI40" s="22"/>
    </row>
    <row r="41" spans="1:35">
      <c r="A41" s="22"/>
      <c r="B41" s="22"/>
      <c r="C41" s="23"/>
      <c r="D41" s="23"/>
      <c r="E41" s="23"/>
      <c r="F41" s="23"/>
      <c r="G41" s="23"/>
      <c r="H41" s="23"/>
      <c r="I41" s="22"/>
      <c r="J41" s="22"/>
      <c r="K41" s="22"/>
      <c r="L41" s="22"/>
      <c r="M41" s="22"/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125">
        <f t="shared" ca="1" si="0"/>
        <v>43632</v>
      </c>
      <c r="AH41" s="22"/>
      <c r="AI41" s="22"/>
    </row>
    <row r="42" spans="1:35">
      <c r="A42" s="22"/>
      <c r="B42" s="22"/>
      <c r="C42" s="23"/>
      <c r="D42" s="23"/>
      <c r="E42" s="23"/>
      <c r="F42" s="23"/>
      <c r="G42" s="23"/>
      <c r="H42" s="23"/>
      <c r="I42" s="22"/>
      <c r="J42" s="22"/>
      <c r="K42" s="22"/>
      <c r="L42" s="22"/>
      <c r="M42" s="22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125">
        <f t="shared" ca="1" si="0"/>
        <v>43633</v>
      </c>
      <c r="AH42" s="22"/>
      <c r="AI42" s="22"/>
    </row>
    <row r="43" spans="1:35">
      <c r="A43" s="22"/>
      <c r="B43" s="22"/>
      <c r="C43" s="23"/>
      <c r="D43" s="23"/>
      <c r="E43" s="23"/>
      <c r="F43" s="23"/>
      <c r="G43" s="23"/>
      <c r="H43" s="23"/>
      <c r="I43" s="22"/>
      <c r="J43" s="22"/>
      <c r="K43" s="22"/>
      <c r="L43" s="22"/>
      <c r="M43" s="22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125">
        <f t="shared" ca="1" si="0"/>
        <v>43634</v>
      </c>
      <c r="AH43" s="22"/>
      <c r="AI43" s="22"/>
    </row>
    <row r="44" spans="1:35">
      <c r="A44" s="22"/>
      <c r="B44" s="22"/>
      <c r="C44" s="23"/>
      <c r="D44" s="23"/>
      <c r="E44" s="23"/>
      <c r="F44" s="23"/>
      <c r="G44" s="23"/>
      <c r="H44" s="23"/>
      <c r="I44" s="22"/>
      <c r="J44" s="22"/>
      <c r="K44" s="22"/>
      <c r="L44" s="22"/>
      <c r="M44" s="22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125">
        <f t="shared" ca="1" si="0"/>
        <v>43635</v>
      </c>
      <c r="AH44" s="22"/>
      <c r="AI44" s="22"/>
    </row>
    <row r="45" spans="1:35">
      <c r="A45" s="22"/>
      <c r="B45" s="22"/>
      <c r="C45" s="23"/>
      <c r="D45" s="23"/>
      <c r="E45" s="23"/>
      <c r="F45" s="23"/>
      <c r="G45" s="23"/>
      <c r="H45" s="23"/>
      <c r="I45" s="22"/>
      <c r="J45" s="22"/>
      <c r="K45" s="22"/>
      <c r="L45" s="22"/>
      <c r="M45" s="22"/>
      <c r="N45" s="21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125">
        <f t="shared" ca="1" si="0"/>
        <v>43636</v>
      </c>
      <c r="AH45" s="22"/>
      <c r="AI45" s="22"/>
    </row>
    <row r="46" spans="1:35">
      <c r="A46" s="22"/>
      <c r="B46" s="22"/>
      <c r="C46" s="23"/>
      <c r="D46" s="23"/>
      <c r="E46" s="23"/>
      <c r="F46" s="23"/>
      <c r="G46" s="23"/>
      <c r="H46" s="23"/>
      <c r="AG46" s="125">
        <f t="shared" ca="1" si="0"/>
        <v>43637</v>
      </c>
    </row>
    <row r="47" spans="1:35">
      <c r="A47" s="22"/>
      <c r="B47" s="22"/>
      <c r="C47" s="23"/>
      <c r="D47" s="23"/>
      <c r="E47" s="23"/>
      <c r="F47" s="23"/>
      <c r="G47" s="23"/>
      <c r="H47" s="23"/>
      <c r="AG47" s="125">
        <f t="shared" ca="1" si="0"/>
        <v>43638</v>
      </c>
    </row>
    <row r="48" spans="1:35">
      <c r="A48" s="22"/>
      <c r="B48" s="22"/>
      <c r="C48" s="23"/>
      <c r="D48" s="23"/>
      <c r="E48" s="23"/>
      <c r="F48" s="23"/>
      <c r="G48" s="23"/>
      <c r="H48" s="23"/>
      <c r="AG48" s="125">
        <f t="shared" ca="1" si="0"/>
        <v>43639</v>
      </c>
    </row>
    <row r="49" spans="1:33">
      <c r="A49" s="22"/>
      <c r="B49" s="22"/>
      <c r="C49" s="23"/>
      <c r="D49" s="23"/>
      <c r="E49" s="23"/>
      <c r="F49" s="23"/>
      <c r="G49" s="23"/>
      <c r="H49" s="23"/>
      <c r="AG49" s="125">
        <f t="shared" ca="1" si="0"/>
        <v>43640</v>
      </c>
    </row>
    <row r="50" spans="1:33">
      <c r="A50" s="22"/>
      <c r="B50" s="22"/>
      <c r="C50" s="23"/>
      <c r="D50" s="23"/>
      <c r="E50" s="23"/>
      <c r="F50" s="23"/>
      <c r="G50" s="23"/>
      <c r="H50" s="23"/>
      <c r="AG50" s="125">
        <f t="shared" ca="1" si="0"/>
        <v>43641</v>
      </c>
    </row>
    <row r="51" spans="1:33">
      <c r="A51" s="22"/>
      <c r="B51" s="22"/>
      <c r="C51" s="23"/>
      <c r="D51" s="23"/>
      <c r="E51" s="23"/>
      <c r="F51" s="23"/>
      <c r="G51" s="23"/>
      <c r="H51" s="23"/>
      <c r="AG51" s="125">
        <f t="shared" ca="1" si="0"/>
        <v>43642</v>
      </c>
    </row>
    <row r="52" spans="1:33">
      <c r="A52" s="22"/>
      <c r="B52" s="22"/>
      <c r="C52" s="23"/>
      <c r="D52" s="23"/>
      <c r="E52" s="23"/>
      <c r="F52" s="23"/>
      <c r="G52" s="23"/>
      <c r="H52" s="23"/>
      <c r="AG52" s="125">
        <f t="shared" ca="1" si="0"/>
        <v>43643</v>
      </c>
    </row>
    <row r="53" spans="1:33">
      <c r="A53" s="22"/>
      <c r="B53" s="22"/>
      <c r="C53" s="23"/>
      <c r="D53" s="23"/>
      <c r="E53" s="23"/>
      <c r="F53" s="23"/>
      <c r="G53" s="23"/>
      <c r="H53" s="23"/>
      <c r="AG53" s="125">
        <f t="shared" ca="1" si="0"/>
        <v>43644</v>
      </c>
    </row>
    <row r="54" spans="1:33">
      <c r="A54" s="22"/>
      <c r="B54" s="22"/>
      <c r="C54" s="23"/>
      <c r="D54" s="23"/>
      <c r="E54" s="23"/>
      <c r="F54" s="23"/>
      <c r="G54" s="23"/>
      <c r="H54" s="23"/>
      <c r="AG54" s="125">
        <f t="shared" ca="1" si="0"/>
        <v>43645</v>
      </c>
    </row>
    <row r="55" spans="1:33">
      <c r="A55" s="22"/>
      <c r="B55" s="22"/>
      <c r="C55" s="23"/>
      <c r="D55" s="23"/>
      <c r="E55" s="23"/>
      <c r="F55" s="23"/>
      <c r="G55" s="23"/>
      <c r="H55" s="23"/>
      <c r="AG55" s="125">
        <f t="shared" ca="1" si="0"/>
        <v>43646</v>
      </c>
    </row>
    <row r="56" spans="1:33">
      <c r="A56" s="22"/>
      <c r="B56" s="22"/>
      <c r="C56" s="23"/>
      <c r="D56" s="23"/>
      <c r="E56" s="23"/>
      <c r="F56" s="23"/>
      <c r="G56" s="23"/>
      <c r="H56" s="23"/>
      <c r="AG56" s="125">
        <f t="shared" ca="1" si="0"/>
        <v>43647</v>
      </c>
    </row>
    <row r="57" spans="1:33">
      <c r="A57" s="22"/>
      <c r="B57" s="22"/>
      <c r="C57" s="23"/>
      <c r="D57" s="23"/>
      <c r="E57" s="23"/>
      <c r="F57" s="23"/>
      <c r="G57" s="23"/>
      <c r="AG57" s="125">
        <f t="shared" ca="1" si="0"/>
        <v>43648</v>
      </c>
    </row>
    <row r="58" spans="1:33">
      <c r="A58" s="22"/>
      <c r="B58" s="22"/>
      <c r="C58" s="23"/>
      <c r="D58" s="23"/>
      <c r="E58" s="23"/>
      <c r="F58" s="23"/>
      <c r="G58" s="23"/>
      <c r="AG58" s="125">
        <f t="shared" ca="1" si="0"/>
        <v>43649</v>
      </c>
    </row>
    <row r="59" spans="1:33">
      <c r="A59" s="22"/>
      <c r="B59" s="22"/>
      <c r="C59" s="23"/>
      <c r="D59" s="23"/>
      <c r="E59" s="23"/>
      <c r="F59" s="23"/>
      <c r="G59" s="23"/>
      <c r="AG59" s="125">
        <f t="shared" ca="1" si="0"/>
        <v>43650</v>
      </c>
    </row>
    <row r="60" spans="1:33">
      <c r="A60" s="22"/>
      <c r="B60" s="22"/>
      <c r="C60" s="23"/>
      <c r="D60" s="23"/>
      <c r="E60" s="23"/>
      <c r="F60" s="23"/>
      <c r="G60" s="23"/>
      <c r="AG60" s="125">
        <f t="shared" ca="1" si="0"/>
        <v>43651</v>
      </c>
    </row>
    <row r="61" spans="1:33">
      <c r="A61" s="22"/>
      <c r="B61" s="22"/>
      <c r="C61" s="23"/>
      <c r="D61" s="23"/>
      <c r="E61" s="23"/>
      <c r="F61" s="23"/>
      <c r="G61" s="23"/>
      <c r="AG61" s="125">
        <f t="shared" ca="1" si="0"/>
        <v>43652</v>
      </c>
    </row>
    <row r="62" spans="1:33">
      <c r="A62" s="22"/>
      <c r="B62" s="22"/>
      <c r="C62" s="23"/>
      <c r="D62" s="23"/>
      <c r="E62" s="23"/>
      <c r="F62" s="23"/>
      <c r="G62" s="23"/>
      <c r="AG62" s="125">
        <f t="shared" ca="1" si="0"/>
        <v>43653</v>
      </c>
    </row>
    <row r="63" spans="1:33">
      <c r="A63" s="22"/>
      <c r="B63" s="22"/>
      <c r="C63" s="23"/>
      <c r="D63" s="23"/>
      <c r="E63" s="23"/>
      <c r="F63" s="23"/>
      <c r="G63" s="23"/>
      <c r="AG63" s="125">
        <f t="shared" ca="1" si="0"/>
        <v>43654</v>
      </c>
    </row>
    <row r="64" spans="1:33">
      <c r="A64" s="22"/>
      <c r="B64" s="22"/>
      <c r="C64" s="23"/>
      <c r="D64" s="23"/>
      <c r="E64" s="23"/>
      <c r="F64" s="23"/>
      <c r="G64" s="23"/>
      <c r="AG64" s="125">
        <f t="shared" ca="1" si="0"/>
        <v>43655</v>
      </c>
    </row>
    <row r="65" spans="1:33">
      <c r="A65" s="22"/>
      <c r="B65" s="22"/>
      <c r="C65" s="23"/>
      <c r="D65" s="23"/>
      <c r="E65" s="23"/>
      <c r="F65" s="23"/>
      <c r="G65" s="23"/>
      <c r="AG65" s="125">
        <f t="shared" ca="1" si="0"/>
        <v>43656</v>
      </c>
    </row>
    <row r="66" spans="1:33">
      <c r="A66" s="22"/>
      <c r="B66" s="22"/>
      <c r="C66" s="23"/>
      <c r="D66" s="23"/>
      <c r="E66" s="23"/>
      <c r="F66" s="23"/>
      <c r="G66" s="23"/>
      <c r="AG66" s="125">
        <f t="shared" ca="1" si="0"/>
        <v>43657</v>
      </c>
    </row>
    <row r="67" spans="1:33">
      <c r="A67" s="22"/>
      <c r="B67" s="22"/>
      <c r="C67" s="23"/>
      <c r="D67" s="23"/>
      <c r="E67" s="23"/>
      <c r="F67" s="23"/>
      <c r="G67" s="23"/>
      <c r="AG67" s="125">
        <f t="shared" ca="1" si="0"/>
        <v>43658</v>
      </c>
    </row>
    <row r="68" spans="1:33">
      <c r="A68" s="22"/>
      <c r="B68" s="22"/>
      <c r="C68" s="23"/>
      <c r="D68" s="23"/>
      <c r="E68" s="23"/>
      <c r="F68" s="23"/>
      <c r="G68" s="23"/>
      <c r="AG68" s="125">
        <f t="shared" ref="AG68" ca="1" si="1">AG67+1</f>
        <v>43659</v>
      </c>
    </row>
    <row r="69" spans="1:33">
      <c r="AG69" s="125">
        <f t="shared" ca="1" si="0"/>
        <v>43660</v>
      </c>
    </row>
    <row r="70" spans="1:33">
      <c r="AG70" s="125">
        <f t="shared" ref="AG70:AG124" ca="1" si="2">AG69+1</f>
        <v>43661</v>
      </c>
    </row>
    <row r="71" spans="1:33">
      <c r="AG71" s="125">
        <f t="shared" ca="1" si="2"/>
        <v>43662</v>
      </c>
    </row>
    <row r="72" spans="1:33">
      <c r="AG72" s="125">
        <f t="shared" ca="1" si="2"/>
        <v>43663</v>
      </c>
    </row>
    <row r="73" spans="1:33">
      <c r="AG73" s="125">
        <f t="shared" ca="1" si="2"/>
        <v>43664</v>
      </c>
    </row>
    <row r="74" spans="1:33">
      <c r="AG74" s="125">
        <f t="shared" ca="1" si="2"/>
        <v>43665</v>
      </c>
    </row>
    <row r="75" spans="1:33">
      <c r="AG75" s="125">
        <f t="shared" ca="1" si="2"/>
        <v>43666</v>
      </c>
    </row>
    <row r="76" spans="1:33">
      <c r="AG76" s="125">
        <f t="shared" ca="1" si="2"/>
        <v>43667</v>
      </c>
    </row>
    <row r="77" spans="1:33">
      <c r="AG77" s="125">
        <f t="shared" ca="1" si="2"/>
        <v>43668</v>
      </c>
    </row>
    <row r="78" spans="1:33">
      <c r="AG78" s="125">
        <f t="shared" ca="1" si="2"/>
        <v>43669</v>
      </c>
    </row>
    <row r="79" spans="1:33">
      <c r="AG79" s="125">
        <f t="shared" ca="1" si="2"/>
        <v>43670</v>
      </c>
    </row>
    <row r="80" spans="1:33">
      <c r="AG80" s="125">
        <f t="shared" ca="1" si="2"/>
        <v>43671</v>
      </c>
    </row>
    <row r="81" spans="33:33">
      <c r="AG81" s="125">
        <f t="shared" ca="1" si="2"/>
        <v>43672</v>
      </c>
    </row>
    <row r="82" spans="33:33">
      <c r="AG82" s="125">
        <f t="shared" ca="1" si="2"/>
        <v>43673</v>
      </c>
    </row>
    <row r="83" spans="33:33">
      <c r="AG83" s="125">
        <f t="shared" ca="1" si="2"/>
        <v>43674</v>
      </c>
    </row>
    <row r="84" spans="33:33">
      <c r="AG84" s="125">
        <f t="shared" ca="1" si="2"/>
        <v>43675</v>
      </c>
    </row>
    <row r="85" spans="33:33">
      <c r="AG85" s="125">
        <f t="shared" ca="1" si="2"/>
        <v>43676</v>
      </c>
    </row>
    <row r="86" spans="33:33">
      <c r="AG86" s="125">
        <f t="shared" ca="1" si="2"/>
        <v>43677</v>
      </c>
    </row>
    <row r="87" spans="33:33">
      <c r="AG87" s="125">
        <f t="shared" ca="1" si="2"/>
        <v>43678</v>
      </c>
    </row>
    <row r="88" spans="33:33">
      <c r="AG88" s="125">
        <f t="shared" ca="1" si="2"/>
        <v>43679</v>
      </c>
    </row>
    <row r="89" spans="33:33">
      <c r="AG89" s="125">
        <f t="shared" ca="1" si="2"/>
        <v>43680</v>
      </c>
    </row>
    <row r="90" spans="33:33">
      <c r="AG90" s="125">
        <f t="shared" ca="1" si="2"/>
        <v>43681</v>
      </c>
    </row>
    <row r="91" spans="33:33">
      <c r="AG91" s="125">
        <f t="shared" ca="1" si="2"/>
        <v>43682</v>
      </c>
    </row>
    <row r="92" spans="33:33">
      <c r="AG92" s="125">
        <f t="shared" ca="1" si="2"/>
        <v>43683</v>
      </c>
    </row>
    <row r="93" spans="33:33">
      <c r="AG93" s="125">
        <f t="shared" ca="1" si="2"/>
        <v>43684</v>
      </c>
    </row>
    <row r="94" spans="33:33">
      <c r="AG94" s="125">
        <f t="shared" ca="1" si="2"/>
        <v>43685</v>
      </c>
    </row>
    <row r="95" spans="33:33">
      <c r="AG95" s="125">
        <f t="shared" ca="1" si="2"/>
        <v>43686</v>
      </c>
    </row>
    <row r="96" spans="33:33">
      <c r="AG96" s="125">
        <f t="shared" ca="1" si="2"/>
        <v>43687</v>
      </c>
    </row>
    <row r="97" spans="33:33">
      <c r="AG97" s="125">
        <f t="shared" ca="1" si="2"/>
        <v>43688</v>
      </c>
    </row>
    <row r="98" spans="33:33">
      <c r="AG98" s="125">
        <f t="shared" ca="1" si="2"/>
        <v>43689</v>
      </c>
    </row>
    <row r="99" spans="33:33">
      <c r="AG99" s="125">
        <f t="shared" ca="1" si="2"/>
        <v>43690</v>
      </c>
    </row>
    <row r="100" spans="33:33">
      <c r="AG100" s="125">
        <f t="shared" ca="1" si="2"/>
        <v>43691</v>
      </c>
    </row>
    <row r="101" spans="33:33">
      <c r="AG101" s="125">
        <f t="shared" ca="1" si="2"/>
        <v>43692</v>
      </c>
    </row>
    <row r="102" spans="33:33">
      <c r="AG102" s="125">
        <f t="shared" ca="1" si="2"/>
        <v>43693</v>
      </c>
    </row>
    <row r="103" spans="33:33">
      <c r="AG103" s="125">
        <f t="shared" ca="1" si="2"/>
        <v>43694</v>
      </c>
    </row>
    <row r="104" spans="33:33">
      <c r="AG104" s="125">
        <f t="shared" ca="1" si="2"/>
        <v>43695</v>
      </c>
    </row>
    <row r="105" spans="33:33">
      <c r="AG105" s="125">
        <f t="shared" ca="1" si="2"/>
        <v>43696</v>
      </c>
    </row>
    <row r="106" spans="33:33">
      <c r="AG106" s="125">
        <f t="shared" ca="1" si="2"/>
        <v>43697</v>
      </c>
    </row>
    <row r="107" spans="33:33">
      <c r="AG107" s="125">
        <f t="shared" ca="1" si="2"/>
        <v>43698</v>
      </c>
    </row>
    <row r="108" spans="33:33">
      <c r="AG108" s="125">
        <f t="shared" ca="1" si="2"/>
        <v>43699</v>
      </c>
    </row>
    <row r="109" spans="33:33">
      <c r="AG109" s="125">
        <f t="shared" ca="1" si="2"/>
        <v>43700</v>
      </c>
    </row>
    <row r="110" spans="33:33">
      <c r="AG110" s="125">
        <f t="shared" ca="1" si="2"/>
        <v>43701</v>
      </c>
    </row>
    <row r="111" spans="33:33">
      <c r="AG111" s="125">
        <f t="shared" ca="1" si="2"/>
        <v>43702</v>
      </c>
    </row>
    <row r="112" spans="33:33">
      <c r="AG112" s="125">
        <f t="shared" ca="1" si="2"/>
        <v>43703</v>
      </c>
    </row>
    <row r="113" spans="33:33">
      <c r="AG113" s="125">
        <f t="shared" ca="1" si="2"/>
        <v>43704</v>
      </c>
    </row>
    <row r="114" spans="33:33">
      <c r="AG114" s="125">
        <f t="shared" ca="1" si="2"/>
        <v>43705</v>
      </c>
    </row>
    <row r="115" spans="33:33">
      <c r="AG115" s="125">
        <f t="shared" ca="1" si="2"/>
        <v>43706</v>
      </c>
    </row>
    <row r="116" spans="33:33">
      <c r="AG116" s="125">
        <f t="shared" ca="1" si="2"/>
        <v>43707</v>
      </c>
    </row>
    <row r="117" spans="33:33">
      <c r="AG117" s="125">
        <f t="shared" ca="1" si="2"/>
        <v>43708</v>
      </c>
    </row>
    <row r="118" spans="33:33">
      <c r="AG118" s="125">
        <f t="shared" ca="1" si="2"/>
        <v>43709</v>
      </c>
    </row>
    <row r="119" spans="33:33">
      <c r="AG119" s="125">
        <f t="shared" ca="1" si="2"/>
        <v>43710</v>
      </c>
    </row>
    <row r="120" spans="33:33">
      <c r="AG120" s="125">
        <f t="shared" ca="1" si="2"/>
        <v>43711</v>
      </c>
    </row>
    <row r="121" spans="33:33">
      <c r="AG121" s="125">
        <f t="shared" ca="1" si="2"/>
        <v>43712</v>
      </c>
    </row>
    <row r="122" spans="33:33">
      <c r="AG122" s="125">
        <f t="shared" ca="1" si="2"/>
        <v>43713</v>
      </c>
    </row>
    <row r="123" spans="33:33">
      <c r="AG123" s="125">
        <f t="shared" ca="1" si="2"/>
        <v>43714</v>
      </c>
    </row>
    <row r="124" spans="33:33">
      <c r="AG124" s="125">
        <f t="shared" ca="1" si="2"/>
        <v>43715</v>
      </c>
    </row>
    <row r="125" spans="33:33">
      <c r="AG125" s="125"/>
    </row>
    <row r="126" spans="33:33">
      <c r="AG126" s="125"/>
    </row>
    <row r="127" spans="33:33">
      <c r="AG127" s="125"/>
    </row>
    <row r="128" spans="33:33">
      <c r="AG128" s="125"/>
    </row>
    <row r="129" spans="33:33">
      <c r="AG129" s="125"/>
    </row>
    <row r="130" spans="33:33">
      <c r="AG130" s="125"/>
    </row>
    <row r="131" spans="33:33">
      <c r="AG131" s="125"/>
    </row>
    <row r="132" spans="33:33">
      <c r="AG132" s="125"/>
    </row>
    <row r="133" spans="33:33">
      <c r="AG133" s="125"/>
    </row>
    <row r="134" spans="33:33">
      <c r="AG134" s="125"/>
    </row>
    <row r="135" spans="33:33">
      <c r="AG135" s="125"/>
    </row>
    <row r="136" spans="33:33">
      <c r="AG136" s="125"/>
    </row>
    <row r="137" spans="33:33">
      <c r="AG137" s="125"/>
    </row>
    <row r="138" spans="33:33">
      <c r="AG138" s="125"/>
    </row>
    <row r="139" spans="33:33">
      <c r="AG139" s="125"/>
    </row>
    <row r="140" spans="33:33">
      <c r="AG140" s="125"/>
    </row>
    <row r="141" spans="33:33">
      <c r="AG141" s="125"/>
    </row>
    <row r="142" spans="33:33">
      <c r="AG142" s="125"/>
    </row>
    <row r="143" spans="33:33">
      <c r="AG143" s="125"/>
    </row>
    <row r="144" spans="33:33">
      <c r="AG144" s="125"/>
    </row>
    <row r="145" spans="33:33">
      <c r="AG145" s="125"/>
    </row>
    <row r="146" spans="33:33">
      <c r="AG146" s="125"/>
    </row>
    <row r="147" spans="33:33">
      <c r="AG147" s="125"/>
    </row>
    <row r="148" spans="33:33">
      <c r="AG148" s="125"/>
    </row>
    <row r="149" spans="33:33">
      <c r="AG149" s="125"/>
    </row>
    <row r="150" spans="33:33">
      <c r="AG150" s="125"/>
    </row>
    <row r="151" spans="33:33">
      <c r="AG151" s="125"/>
    </row>
    <row r="152" spans="33:33">
      <c r="AG152" s="125"/>
    </row>
    <row r="153" spans="33:33">
      <c r="AG153" s="125"/>
    </row>
    <row r="154" spans="33:33">
      <c r="AG154" s="125"/>
    </row>
    <row r="155" spans="33:33">
      <c r="AG155" s="125"/>
    </row>
    <row r="156" spans="33:33">
      <c r="AG156" s="125"/>
    </row>
    <row r="157" spans="33:33">
      <c r="AG157" s="125"/>
    </row>
    <row r="158" spans="33:33">
      <c r="AG158" s="125"/>
    </row>
    <row r="159" spans="33:33">
      <c r="AG159" s="125"/>
    </row>
    <row r="160" spans="33:33">
      <c r="AG160" s="125"/>
    </row>
    <row r="161" spans="33:33">
      <c r="AG161" s="125"/>
    </row>
    <row r="162" spans="33:33">
      <c r="AG162" s="125"/>
    </row>
    <row r="163" spans="33:33">
      <c r="AG163" s="125"/>
    </row>
    <row r="164" spans="33:33">
      <c r="AG164" s="125"/>
    </row>
    <row r="165" spans="33:33">
      <c r="AG165" s="125"/>
    </row>
    <row r="166" spans="33:33">
      <c r="AG166" s="125"/>
    </row>
    <row r="167" spans="33:33">
      <c r="AG167" s="125"/>
    </row>
    <row r="168" spans="33:33">
      <c r="AG168" s="125"/>
    </row>
    <row r="169" spans="33:33">
      <c r="AG169" s="125"/>
    </row>
    <row r="170" spans="33:33">
      <c r="AG170" s="125"/>
    </row>
    <row r="171" spans="33:33">
      <c r="AG171" s="125"/>
    </row>
    <row r="172" spans="33:33">
      <c r="AG172" s="125"/>
    </row>
    <row r="173" spans="33:33">
      <c r="AG173" s="125"/>
    </row>
  </sheetData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HH Alert Form 2018</vt:lpstr>
      <vt:lpstr>AM_Admit</vt:lpstr>
      <vt:lpstr>Anesthesia_Type</vt:lpstr>
      <vt:lpstr>CPTCodes</vt:lpstr>
      <vt:lpstr>Encounter_Type</vt:lpstr>
      <vt:lpstr>Equipment_Requiring_Rep</vt:lpstr>
      <vt:lpstr>Languages</vt:lpstr>
      <vt:lpstr>Other_Equipment</vt:lpstr>
      <vt:lpstr>Patient_Position</vt:lpstr>
      <vt:lpstr>Positioning_Beds</vt:lpstr>
      <vt:lpstr>Priority</vt:lpstr>
      <vt:lpstr>Procedure_CPTCODE_TABLE</vt:lpstr>
      <vt:lpstr>Radiology</vt:lpstr>
      <vt:lpstr>Selected_Procedure</vt:lpstr>
      <vt:lpstr>Supplies</vt:lpstr>
      <vt:lpstr>Surgical_Site_Modifier</vt:lpstr>
      <vt:lpstr>Table30</vt:lpstr>
      <vt:lpstr>Time</vt:lpstr>
      <vt:lpstr>Vendors</vt:lpstr>
    </vt:vector>
  </TitlesOfParts>
  <Manager>Christopher.Sharkey@tmcmed.org</Manager>
  <Company>Truman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Sharkey, Christopher D</dc:creator>
  <cp:lastModifiedBy>shark</cp:lastModifiedBy>
  <cp:lastPrinted>2019-03-28T17:11:04Z</cp:lastPrinted>
  <dcterms:created xsi:type="dcterms:W3CDTF">2018-04-11T12:23:19Z</dcterms:created>
  <dcterms:modified xsi:type="dcterms:W3CDTF">2019-05-09T04:13:24Z</dcterms:modified>
</cp:coreProperties>
</file>